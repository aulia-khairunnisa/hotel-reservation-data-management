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127"/>
  <workbookPr/>
  <mc:AlternateContent xmlns:mc="http://schemas.openxmlformats.org/markup-compatibility/2006">
    <mc:Choice Requires="x15">
      <x15ac:absPath xmlns:x15ac="http://schemas.microsoft.com/office/spreadsheetml/2010/11/ac" url="https://d.docs.live.net/41139345319bbd04/Desktop/"/>
    </mc:Choice>
  </mc:AlternateContent>
  <xr:revisionPtr revIDLastSave="0" documentId="13_ncr:1_{2B18F074-DE38-4E3F-A1CD-D072B6783EE9}" xr6:coauthVersionLast="45" xr6:coauthVersionMax="45" xr10:uidLastSave="{00000000-0000-0000-0000-000000000000}"/>
  <bookViews>
    <workbookView xWindow="4065" yWindow="1545" windowWidth="10890" windowHeight="9975" activeTab="1" xr2:uid="{00000000-000D-0000-FFFF-FFFF00000000}"/>
  </bookViews>
  <sheets>
    <sheet name="Master_Data" sheetId="1" r:id="rId1"/>
    <sheet name="Reservation_Log" sheetId="2" r:id="rId2"/>
  </sheets>
  <calcPr calcId="191029"/>
</workbook>
</file>

<file path=xl/calcChain.xml><?xml version="1.0" encoding="utf-8"?>
<calcChain xmlns="http://schemas.openxmlformats.org/spreadsheetml/2006/main">
  <c r="U9" i="2" l="1"/>
  <c r="V9" i="2" s="1"/>
  <c r="U10" i="2"/>
  <c r="V10" i="2" s="1"/>
  <c r="U11" i="2"/>
  <c r="V11" i="2" s="1"/>
  <c r="U12" i="2"/>
  <c r="V12" i="2" s="1"/>
  <c r="U13" i="2"/>
  <c r="V13" i="2" s="1"/>
  <c r="U14" i="2"/>
  <c r="V14" i="2" s="1"/>
  <c r="U15" i="2"/>
  <c r="V15" i="2" s="1"/>
  <c r="U16" i="2"/>
  <c r="V16" i="2" s="1"/>
  <c r="U17" i="2"/>
  <c r="V17" i="2" s="1"/>
  <c r="U18" i="2"/>
  <c r="V18" i="2" s="1"/>
  <c r="U19" i="2"/>
  <c r="V19" i="2" s="1"/>
  <c r="U20" i="2"/>
  <c r="V20" i="2" s="1"/>
  <c r="U21" i="2"/>
  <c r="V21" i="2" s="1"/>
  <c r="U22" i="2"/>
  <c r="V22" i="2" s="1"/>
  <c r="U23" i="2"/>
  <c r="V23" i="2" s="1"/>
  <c r="U24" i="2"/>
  <c r="V24" i="2" s="1"/>
  <c r="U25" i="2"/>
  <c r="V25" i="2" s="1"/>
  <c r="U26" i="2"/>
  <c r="V26" i="2" s="1"/>
  <c r="U27" i="2"/>
  <c r="V27" i="2" s="1"/>
  <c r="U28" i="2"/>
  <c r="V28" i="2" s="1"/>
  <c r="U29" i="2"/>
  <c r="V29" i="2" s="1"/>
  <c r="U30" i="2"/>
  <c r="V30" i="2" s="1"/>
  <c r="U31" i="2"/>
  <c r="V31" i="2" s="1"/>
  <c r="U32" i="2"/>
  <c r="V32" i="2" s="1"/>
  <c r="U33" i="2"/>
  <c r="V33" i="2" s="1"/>
  <c r="U34" i="2"/>
  <c r="V34" i="2" s="1"/>
  <c r="U35" i="2"/>
  <c r="V35" i="2" s="1"/>
  <c r="U36" i="2"/>
  <c r="V36" i="2" s="1"/>
  <c r="U37" i="2"/>
  <c r="V37" i="2" s="1"/>
  <c r="U8" i="2"/>
  <c r="V8" i="2" s="1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8" i="2"/>
  <c r="N9" i="2"/>
  <c r="P9" i="2" s="1"/>
  <c r="S9" i="2" s="1"/>
  <c r="N10" i="2"/>
  <c r="P10" i="2" s="1"/>
  <c r="S10" i="2" s="1"/>
  <c r="N11" i="2"/>
  <c r="P11" i="2" s="1"/>
  <c r="S11" i="2" s="1"/>
  <c r="N12" i="2"/>
  <c r="P12" i="2" s="1"/>
  <c r="S12" i="2" s="1"/>
  <c r="N13" i="2"/>
  <c r="P13" i="2" s="1"/>
  <c r="S13" i="2" s="1"/>
  <c r="N14" i="2"/>
  <c r="P14" i="2" s="1"/>
  <c r="S14" i="2" s="1"/>
  <c r="N15" i="2"/>
  <c r="P15" i="2" s="1"/>
  <c r="S15" i="2" s="1"/>
  <c r="N16" i="2"/>
  <c r="P16" i="2" s="1"/>
  <c r="S16" i="2" s="1"/>
  <c r="N17" i="2"/>
  <c r="P17" i="2" s="1"/>
  <c r="S17" i="2" s="1"/>
  <c r="N18" i="2"/>
  <c r="P18" i="2" s="1"/>
  <c r="S18" i="2" s="1"/>
  <c r="N19" i="2"/>
  <c r="P19" i="2" s="1"/>
  <c r="S19" i="2" s="1"/>
  <c r="N20" i="2"/>
  <c r="P20" i="2" s="1"/>
  <c r="S20" i="2" s="1"/>
  <c r="N21" i="2"/>
  <c r="P21" i="2" s="1"/>
  <c r="S21" i="2" s="1"/>
  <c r="N22" i="2"/>
  <c r="P22" i="2" s="1"/>
  <c r="S22" i="2" s="1"/>
  <c r="N23" i="2"/>
  <c r="P23" i="2" s="1"/>
  <c r="S23" i="2" s="1"/>
  <c r="N24" i="2"/>
  <c r="P24" i="2" s="1"/>
  <c r="S24" i="2" s="1"/>
  <c r="N25" i="2"/>
  <c r="P25" i="2" s="1"/>
  <c r="S25" i="2" s="1"/>
  <c r="N26" i="2"/>
  <c r="P26" i="2" s="1"/>
  <c r="S26" i="2" s="1"/>
  <c r="N27" i="2"/>
  <c r="P27" i="2" s="1"/>
  <c r="S27" i="2" s="1"/>
  <c r="N28" i="2"/>
  <c r="P28" i="2" s="1"/>
  <c r="S28" i="2" s="1"/>
  <c r="N29" i="2"/>
  <c r="P29" i="2" s="1"/>
  <c r="S29" i="2" s="1"/>
  <c r="N30" i="2"/>
  <c r="P30" i="2" s="1"/>
  <c r="S30" i="2" s="1"/>
  <c r="N31" i="2"/>
  <c r="P31" i="2" s="1"/>
  <c r="S31" i="2" s="1"/>
  <c r="N32" i="2"/>
  <c r="P32" i="2" s="1"/>
  <c r="S32" i="2" s="1"/>
  <c r="N33" i="2"/>
  <c r="P33" i="2" s="1"/>
  <c r="S33" i="2" s="1"/>
  <c r="N34" i="2"/>
  <c r="P34" i="2" s="1"/>
  <c r="S34" i="2" s="1"/>
  <c r="N35" i="2"/>
  <c r="P35" i="2" s="1"/>
  <c r="S35" i="2" s="1"/>
  <c r="N36" i="2"/>
  <c r="P36" i="2" s="1"/>
  <c r="S36" i="2" s="1"/>
  <c r="N37" i="2"/>
  <c r="P37" i="2" s="1"/>
  <c r="S37" i="2" s="1"/>
  <c r="N8" i="2"/>
  <c r="P8" i="2" s="1"/>
  <c r="S8" i="2" s="1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8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8" i="2"/>
  <c r="G9" i="2" l="1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8" i="2"/>
</calcChain>
</file>

<file path=xl/sharedStrings.xml><?xml version="1.0" encoding="utf-8"?>
<sst xmlns="http://schemas.openxmlformats.org/spreadsheetml/2006/main" count="162" uniqueCount="131">
  <si>
    <t>HOTEL PAVILION RUYI</t>
  </si>
  <si>
    <t>Jl. Peach Blossom Alley, No. 35</t>
  </si>
  <si>
    <t>Xinyi, Prov. Daebak-gil Selatan, 8943</t>
  </si>
  <si>
    <t>TIPE KAMAR</t>
  </si>
  <si>
    <t>HARGA PER MALAM</t>
  </si>
  <si>
    <t>KAPASITAS KAMAR</t>
  </si>
  <si>
    <t>KODE KAMAR</t>
  </si>
  <si>
    <t>Standard Room</t>
  </si>
  <si>
    <t>KMR1</t>
  </si>
  <si>
    <t>Superior Room</t>
  </si>
  <si>
    <t>KMR2</t>
  </si>
  <si>
    <t>Deluxe Room</t>
  </si>
  <si>
    <t>KMR3</t>
  </si>
  <si>
    <t>Suite</t>
  </si>
  <si>
    <t>KMR4</t>
  </si>
  <si>
    <t>Family Room</t>
  </si>
  <si>
    <t>KMR5</t>
  </si>
  <si>
    <t>NO</t>
  </si>
  <si>
    <t>KODE RESERVASI</t>
  </si>
  <si>
    <t>NAMA TAMU</t>
  </si>
  <si>
    <t>KONTAK TAMU</t>
  </si>
  <si>
    <t>JENIS IDENTITAS</t>
  </si>
  <si>
    <t>JENIS PEMESANAN</t>
  </si>
  <si>
    <t>TUJUAN TAMU</t>
  </si>
  <si>
    <t>TANGGAL CHECK-IN</t>
  </si>
  <si>
    <t>TANGGAL CHECK-OUT</t>
  </si>
  <si>
    <t>JUMLAH ORANG</t>
  </si>
  <si>
    <t>LAMA INAP</t>
  </si>
  <si>
    <t>TOTAL BIAYA (AWAL)</t>
  </si>
  <si>
    <t>JENIS LAYANAN EXTRA</t>
  </si>
  <si>
    <t>BIAYA TAMBAHAN</t>
  </si>
  <si>
    <t>TOTAL TAGIHAN</t>
  </si>
  <si>
    <t>METODE PEMBAYARAN</t>
  </si>
  <si>
    <t>STATUS PEMBAYARAN</t>
  </si>
  <si>
    <t>STATUS KEDATANGAN</t>
  </si>
  <si>
    <t>K-BO-01/05/25-S-KMR1</t>
  </si>
  <si>
    <t>LOKA WIRANTA</t>
  </si>
  <si>
    <t>loka.wiranta@maildummy.com</t>
  </si>
  <si>
    <t>K-WI-01/05/25-S-KMR5</t>
  </si>
  <si>
    <t>HANA LIN</t>
  </si>
  <si>
    <t>+62 813-2345-6789</t>
  </si>
  <si>
    <t>P-BT-01/05/25-B-KMR2</t>
  </si>
  <si>
    <t>SANITA VELORA</t>
  </si>
  <si>
    <t>+62 811-9876-5432</t>
  </si>
  <si>
    <t>K-BT-02/05/25-T-KMR4</t>
  </si>
  <si>
    <t>VANYA RUSELINA</t>
  </si>
  <si>
    <t>+62 814-8765-4321</t>
  </si>
  <si>
    <t>P-WI-03/05/25-S-KMR3</t>
  </si>
  <si>
    <t>REZA TARMOKO</t>
  </si>
  <si>
    <t>+62 816-6543-2109</t>
  </si>
  <si>
    <t>K-BO-05/05/25-B-KMR2</t>
  </si>
  <si>
    <t>DARGO MAWESTA</t>
  </si>
  <si>
    <t>dargo.mawesta@dummy.com</t>
  </si>
  <si>
    <t>K-WI-05/05/25-T-KMR2</t>
  </si>
  <si>
    <t>TISYA AVENDRA</t>
  </si>
  <si>
    <t>+62 817-7654-3210</t>
  </si>
  <si>
    <t>K-BT-07/05/25-T-KMR2</t>
  </si>
  <si>
    <t>KARYO LIMANTARA</t>
  </si>
  <si>
    <t>+62 818-6543-2109</t>
  </si>
  <si>
    <t>P-BO-10/05/25-B-KMR4</t>
  </si>
  <si>
    <t>JEFRO MALANTARA</t>
  </si>
  <si>
    <t>jefro.malantara@dummy.org</t>
  </si>
  <si>
    <t>P-BO-13/05/25-S-KMR1</t>
  </si>
  <si>
    <t>BINAR KENDARTA</t>
  </si>
  <si>
    <t>binar.kendarta@maildummy.net</t>
  </si>
  <si>
    <t>P-WI-15/05/25-S-KMR5</t>
  </si>
  <si>
    <t>CHIKA YURESTA</t>
  </si>
  <si>
    <t>+62 813-2109-8765</t>
  </si>
  <si>
    <t>K-WI-15/05/25-T-KMR5</t>
  </si>
  <si>
    <t>MEI ZHANG</t>
  </si>
  <si>
    <t>+62 813-1098-7654</t>
  </si>
  <si>
    <t>P-BT-17/05/25-B-KMR4</t>
  </si>
  <si>
    <t>LIU SHISHI</t>
  </si>
  <si>
    <t>+62 810-4321-0987</t>
  </si>
  <si>
    <t>P-BO-18/05/25-B-KMR3</t>
  </si>
  <si>
    <t>ZHANG ROUNAN</t>
  </si>
  <si>
    <t>zhang.rounan@fakedomain.org</t>
  </si>
  <si>
    <t>P-WI-19/05/25-B-KMR2</t>
  </si>
  <si>
    <t>SONG ZUER</t>
  </si>
  <si>
    <t>+62 810-3210-9876</t>
  </si>
  <si>
    <t>K-BO-20/05/25-S-KMR5</t>
  </si>
  <si>
    <t>VARO GHANTIRA</t>
  </si>
  <si>
    <t>varo.ghantira@maildummy.org</t>
  </si>
  <si>
    <t>P-BT-21/05/25-S-KMR4</t>
  </si>
  <si>
    <t>ZHANG YUNLONG</t>
  </si>
  <si>
    <t>+62 814-0987-6543</t>
  </si>
  <si>
    <t>P-BO-22/05/25-T-KMR3</t>
  </si>
  <si>
    <t>BAI JINTING</t>
  </si>
  <si>
    <t>bai.jinting@dummyemail.net</t>
  </si>
  <si>
    <t>P-WI-23/05/25-T-KMR2</t>
  </si>
  <si>
    <t>LIU YUNING</t>
  </si>
  <si>
    <t>+62 812-0739-8392</t>
  </si>
  <si>
    <t>K-BO-25/05/25-B-KMR1</t>
  </si>
  <si>
    <t>SELVI MAHARENTIYA</t>
  </si>
  <si>
    <t>selvi.mah@fakedomain.org</t>
  </si>
  <si>
    <t>K-BO-26/05/25-T-KMR5</t>
  </si>
  <si>
    <t>ETHAN CHALLISTER</t>
  </si>
  <si>
    <t>ethan.chal@maildummy.com</t>
  </si>
  <si>
    <t>P-BT-27/05/25-S-KMR1</t>
  </si>
  <si>
    <t>DENO ABHYAKA</t>
  </si>
  <si>
    <t>+62 812-3456-7890</t>
  </si>
  <si>
    <t>P-BT-28/05/25-B-KMR5</t>
  </si>
  <si>
    <t>LINDA SERWASTI</t>
  </si>
  <si>
    <t>+62 817-5432-1098</t>
  </si>
  <si>
    <t>K-BO-29/05/25-S-KMR2</t>
  </si>
  <si>
    <t>CALVIN TRASMOKO</t>
  </si>
  <si>
    <t>calvin.trasmoko@dummy.com</t>
  </si>
  <si>
    <t>P-WI-30/05/25-S-KMR3</t>
  </si>
  <si>
    <t>YAVITA ORLENZA</t>
  </si>
  <si>
    <t>+62 815-8765-4321</t>
  </si>
  <si>
    <t>K-BO-31/05/25-S-KMR1</t>
  </si>
  <si>
    <t>GALAN MERDANA</t>
  </si>
  <si>
    <t>galan.merdana@fakemail.com</t>
  </si>
  <si>
    <t>K-BO-01/06/25-B-KMR4</t>
  </si>
  <si>
    <t>SYIFA ANTAVERA</t>
  </si>
  <si>
    <t>syifa.antavera@dummyemail.org</t>
  </si>
  <si>
    <t>P-BO-05/06/25-T-KMR5</t>
  </si>
  <si>
    <t>NIRA ZALINDRA</t>
  </si>
  <si>
    <t>nira.zalindra@mailfakes.net</t>
  </si>
  <si>
    <t>P-BT-06/06/25-B-KMR1</t>
  </si>
  <si>
    <t>LIAM HARGROVE</t>
  </si>
  <si>
    <t>+62 815-9876-5432</t>
  </si>
  <si>
    <t>P-BT-07/06/25-B-KMR3</t>
  </si>
  <si>
    <t>YICHEN LUO</t>
  </si>
  <si>
    <t>+62 812-2134-5555</t>
  </si>
  <si>
    <t>-</t>
  </si>
  <si>
    <t>Box Bayi</t>
  </si>
  <si>
    <t>Sarapan</t>
  </si>
  <si>
    <t>Layanan Antar-Jemput</t>
  </si>
  <si>
    <t>Paket Spa &amp; Pijat</t>
  </si>
  <si>
    <t>Laundry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</si>
</sst>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-&quot;Rp&quot;* #,##0_-;\-&quot;Rp&quot;* #,##0_-;_-&quot;Rp&quot;* &quot;-&quot;_-;_-@_-"/>
    <numFmt numFmtId="164" formatCode="_-&quot;Rp&quot;* #,##0_-;\-&quot;Rp&quot;* #,##0_-;_-&quot;Rp&quot;* &quot;-&quot;_-;_-@"/>
  </numFmts>
  <fonts count="13" x14ac:knownFonts="1">
    <font>
      <sz val="11"/>
      <color theme="1"/>
      <name val="Calibri"/>
      <scheme val="minor"/>
    </font>
    <font>
      <b/>
      <sz val="18"/>
      <color theme="1"/>
      <name val="Calibri"/>
      <family val="2"/>
    </font>
    <font>
      <i/>
      <sz val="12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8"/>
      <color theme="1"/>
      <name val="Calibri"/>
      <family val="2"/>
    </font>
    <font>
      <sz val="18"/>
      <color theme="1"/>
      <name val="Calibri"/>
      <family val="2"/>
      <scheme val="minor"/>
    </font>
    <font>
      <b/>
      <sz val="11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2F2F2"/>
        <bgColor rgb="FFF2F2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2" fontId="5" fillId="0" borderId="0" applyFont="0" applyFill="0" applyBorder="0" applyAlignment="0" applyProtection="0"/>
  </cellStyleXfs>
  <cellXfs count="46">
    <xf numFmtId="0" fontId="0" fillId="0" borderId="0" xfId="0" applyFont="1" applyAlignment="1"/>
    <xf numFmtId="0" fontId="2" fillId="0" borderId="0" xfId="0" applyFont="1" applyAlignment="1">
      <alignment horizontal="center"/>
    </xf>
    <xf numFmtId="0" fontId="4" fillId="0" borderId="1" xfId="0" applyFont="1" applyBorder="1"/>
    <xf numFmtId="0" fontId="4" fillId="0" borderId="0" xfId="0" applyFont="1"/>
    <xf numFmtId="0" fontId="5" fillId="0" borderId="0" xfId="0" applyFont="1"/>
    <xf numFmtId="0" fontId="5" fillId="0" borderId="0" xfId="0" applyFont="1" applyAlignment="1"/>
    <xf numFmtId="0" fontId="4" fillId="3" borderId="1" xfId="0" applyFont="1" applyFill="1" applyBorder="1" applyAlignment="1">
      <alignment horizontal="center"/>
    </xf>
    <xf numFmtId="0" fontId="4" fillId="3" borderId="1" xfId="0" applyFont="1" applyFill="1" applyBorder="1"/>
    <xf numFmtId="0" fontId="4" fillId="3" borderId="1" xfId="0" applyFont="1" applyFill="1" applyBorder="1" applyAlignment="1">
      <alignment vertical="center" wrapText="1"/>
    </xf>
    <xf numFmtId="0" fontId="4" fillId="0" borderId="1" xfId="0" applyFont="1" applyFill="1" applyBorder="1"/>
    <xf numFmtId="0" fontId="0" fillId="0" borderId="0" xfId="0" applyFont="1" applyFill="1" applyAlignment="1"/>
    <xf numFmtId="0" fontId="4" fillId="4" borderId="1" xfId="0" applyFont="1" applyFill="1" applyBorder="1"/>
    <xf numFmtId="0" fontId="8" fillId="0" borderId="4" xfId="0" applyFont="1" applyBorder="1" applyAlignment="1">
      <alignment horizontal="center" wrapText="1"/>
    </xf>
    <xf numFmtId="0" fontId="8" fillId="0" borderId="4" xfId="0" applyFont="1" applyBorder="1" applyAlignment="1">
      <alignment horizontal="center" vertical="center" wrapText="1"/>
    </xf>
    <xf numFmtId="0" fontId="9" fillId="0" borderId="1" xfId="0" applyFont="1" applyBorder="1"/>
    <xf numFmtId="0" fontId="0" fillId="0" borderId="0" xfId="0" applyNumberFormat="1" applyFont="1" applyAlignment="1"/>
    <xf numFmtId="0" fontId="11" fillId="0" borderId="0" xfId="0" applyFont="1" applyAlignment="1"/>
    <xf numFmtId="0" fontId="4" fillId="0" borderId="7" xfId="0" applyFont="1" applyFill="1" applyBorder="1"/>
    <xf numFmtId="0" fontId="0" fillId="0" borderId="0" xfId="0" applyFont="1" applyFill="1" applyBorder="1" applyAlignment="1"/>
    <xf numFmtId="0" fontId="3" fillId="0" borderId="0" xfId="0" applyFont="1" applyFill="1" applyBorder="1" applyAlignment="1">
      <alignment horizontal="center"/>
    </xf>
    <xf numFmtId="0" fontId="0" fillId="0" borderId="0" xfId="0" applyFont="1" applyFill="1" applyAlignment="1">
      <alignment horizontal="center"/>
    </xf>
    <xf numFmtId="0" fontId="3" fillId="5" borderId="7" xfId="0" applyFont="1" applyFill="1" applyBorder="1" applyAlignment="1">
      <alignment horizontal="center"/>
    </xf>
    <xf numFmtId="164" fontId="4" fillId="0" borderId="7" xfId="0" applyNumberFormat="1" applyFont="1" applyFill="1" applyBorder="1"/>
    <xf numFmtId="0" fontId="4" fillId="0" borderId="7" xfId="0" applyFont="1" applyFill="1" applyBorder="1" applyAlignment="1">
      <alignment horizontal="center"/>
    </xf>
    <xf numFmtId="14" fontId="4" fillId="0" borderId="1" xfId="0" applyNumberFormat="1" applyFont="1" applyBorder="1"/>
    <xf numFmtId="42" fontId="4" fillId="0" borderId="1" xfId="1" applyFont="1" applyBorder="1"/>
    <xf numFmtId="42" fontId="4" fillId="0" borderId="1" xfId="0" applyNumberFormat="1" applyFont="1" applyBorder="1"/>
    <xf numFmtId="0" fontId="0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5" xfId="0" applyFont="1" applyFill="1" applyBorder="1" applyAlignment="1">
      <alignment horizontal="center"/>
    </xf>
    <xf numFmtId="0" fontId="0" fillId="0" borderId="5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0" fillId="0" borderId="0" xfId="0" applyFont="1" applyFill="1" applyBorder="1" applyAlignment="1"/>
    <xf numFmtId="0" fontId="2" fillId="0" borderId="6" xfId="0" applyFont="1" applyFill="1" applyBorder="1" applyAlignment="1">
      <alignment horizontal="center"/>
    </xf>
    <xf numFmtId="0" fontId="0" fillId="0" borderId="6" xfId="0" applyFont="1" applyFill="1" applyBorder="1" applyAlignment="1"/>
    <xf numFmtId="0" fontId="6" fillId="2" borderId="2" xfId="0" applyFont="1" applyFill="1" applyBorder="1" applyAlignment="1">
      <alignment horizontal="center" vertical="center" wrapText="1"/>
    </xf>
    <xf numFmtId="0" fontId="7" fillId="0" borderId="3" xfId="0" applyFont="1" applyBorder="1"/>
    <xf numFmtId="0" fontId="12" fillId="2" borderId="2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1" fillId="0" borderId="5" xfId="0" applyFont="1" applyBorder="1" applyAlignment="1"/>
    <xf numFmtId="0" fontId="2" fillId="0" borderId="0" xfId="0" applyFont="1" applyBorder="1" applyAlignment="1">
      <alignment horizontal="center"/>
    </xf>
    <xf numFmtId="0" fontId="0" fillId="0" borderId="0" xfId="0" applyFont="1" applyBorder="1" applyAlignment="1"/>
    <xf numFmtId="0" fontId="2" fillId="0" borderId="6" xfId="0" applyFont="1" applyBorder="1" applyAlignment="1">
      <alignment horizontal="center"/>
    </xf>
    <xf numFmtId="0" fontId="0" fillId="0" borderId="6" xfId="0" applyFont="1" applyBorder="1" applyAlignment="1"/>
  </cellXfs>
  <cellStyles count="2">
    <cellStyle name="Currency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0"/>
  <sheetViews>
    <sheetView showGridLines="0" zoomScale="75" zoomScaleNormal="75" workbookViewId="0">
      <selection activeCell="G14" sqref="G14"/>
    </sheetView>
  </sheetViews>
  <sheetFormatPr defaultColWidth="14.42578125" defaultRowHeight="15" customHeight="1" x14ac:dyDescent="0.25"/>
  <cols>
    <col min="1" max="1" width="16.28515625" style="10" customWidth="1"/>
    <col min="2" max="2" width="19.5703125" style="10" customWidth="1"/>
    <col min="3" max="3" width="18.42578125" style="10" customWidth="1"/>
    <col min="4" max="4" width="13.7109375" style="10" customWidth="1"/>
    <col min="5" max="6" width="8.7109375" style="10" customWidth="1"/>
    <col min="7" max="7" width="21.85546875" style="10" bestFit="1" customWidth="1"/>
    <col min="8" max="8" width="4.28515625" style="20" customWidth="1"/>
    <col min="9" max="9" width="5.42578125" style="10" customWidth="1"/>
    <col min="10" max="21" width="8.7109375" style="10" customWidth="1"/>
    <col min="22" max="25" width="8.7109375" customWidth="1"/>
  </cols>
  <sheetData>
    <row r="1" spans="1:21" ht="23.25" x14ac:dyDescent="0.35">
      <c r="A1" s="30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</row>
    <row r="2" spans="1:21" ht="15.75" x14ac:dyDescent="0.25">
      <c r="A2" s="32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</row>
    <row r="3" spans="1:21" ht="16.5" thickBot="1" x14ac:dyDescent="0.3">
      <c r="A3" s="34" t="s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</row>
    <row r="4" spans="1:21" ht="15" customHeight="1" thickTop="1" x14ac:dyDescent="0.25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</row>
    <row r="5" spans="1:21" ht="15" customHeight="1" x14ac:dyDescent="0.25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</row>
    <row r="6" spans="1:21" x14ac:dyDescent="0.25">
      <c r="A6" s="21" t="s">
        <v>3</v>
      </c>
      <c r="B6" s="21" t="s">
        <v>4</v>
      </c>
      <c r="C6" s="21" t="s">
        <v>5</v>
      </c>
      <c r="D6" s="21" t="s">
        <v>6</v>
      </c>
      <c r="E6" s="18"/>
      <c r="F6" s="18"/>
      <c r="G6" s="19"/>
      <c r="H6"/>
      <c r="I6"/>
      <c r="J6"/>
      <c r="K6"/>
      <c r="L6"/>
      <c r="M6"/>
      <c r="N6"/>
      <c r="O6"/>
      <c r="P6"/>
      <c r="Q6"/>
      <c r="R6"/>
      <c r="S6"/>
      <c r="T6"/>
      <c r="U6"/>
    </row>
    <row r="7" spans="1:21" x14ac:dyDescent="0.25">
      <c r="A7" s="17" t="s">
        <v>7</v>
      </c>
      <c r="B7" s="22">
        <v>800000</v>
      </c>
      <c r="C7" s="23">
        <v>2</v>
      </c>
      <c r="D7" s="23" t="s">
        <v>8</v>
      </c>
      <c r="E7" s="18"/>
      <c r="F7" s="18"/>
      <c r="G7" s="18"/>
      <c r="H7"/>
      <c r="I7"/>
      <c r="J7"/>
      <c r="K7"/>
      <c r="L7"/>
      <c r="M7"/>
      <c r="N7"/>
      <c r="O7"/>
      <c r="P7"/>
      <c r="Q7"/>
      <c r="R7"/>
      <c r="S7"/>
      <c r="T7"/>
      <c r="U7"/>
    </row>
    <row r="8" spans="1:21" x14ac:dyDescent="0.25">
      <c r="A8" s="17" t="s">
        <v>9</v>
      </c>
      <c r="B8" s="22">
        <v>1200000</v>
      </c>
      <c r="C8" s="23">
        <v>2</v>
      </c>
      <c r="D8" s="23" t="s">
        <v>10</v>
      </c>
      <c r="E8" s="18"/>
      <c r="F8" s="18"/>
      <c r="G8" s="18"/>
      <c r="H8"/>
      <c r="I8"/>
      <c r="J8"/>
      <c r="K8"/>
      <c r="L8"/>
      <c r="M8"/>
      <c r="N8"/>
      <c r="O8"/>
      <c r="P8"/>
      <c r="Q8"/>
      <c r="R8"/>
      <c r="S8"/>
      <c r="T8"/>
      <c r="U8"/>
    </row>
    <row r="9" spans="1:21" x14ac:dyDescent="0.25">
      <c r="A9" s="17" t="s">
        <v>11</v>
      </c>
      <c r="B9" s="22">
        <v>1800000</v>
      </c>
      <c r="C9" s="23">
        <v>2</v>
      </c>
      <c r="D9" s="23" t="s">
        <v>12</v>
      </c>
      <c r="E9" s="18"/>
      <c r="F9" s="18"/>
      <c r="G9" s="18"/>
      <c r="H9"/>
      <c r="I9"/>
      <c r="J9"/>
      <c r="K9"/>
      <c r="L9"/>
      <c r="M9"/>
      <c r="N9"/>
      <c r="O9"/>
      <c r="P9"/>
      <c r="Q9"/>
      <c r="R9"/>
      <c r="S9"/>
      <c r="T9"/>
      <c r="U9"/>
    </row>
    <row r="10" spans="1:21" x14ac:dyDescent="0.25">
      <c r="A10" s="17" t="s">
        <v>13</v>
      </c>
      <c r="B10" s="22">
        <v>2000000</v>
      </c>
      <c r="C10" s="23">
        <v>4</v>
      </c>
      <c r="D10" s="23" t="s">
        <v>14</v>
      </c>
      <c r="E10" s="18"/>
      <c r="F10" s="18"/>
      <c r="G10" s="18"/>
      <c r="H10"/>
      <c r="I10"/>
      <c r="J10"/>
      <c r="K10"/>
      <c r="L10"/>
      <c r="M10"/>
      <c r="N10"/>
      <c r="O10"/>
      <c r="P10"/>
      <c r="Q10"/>
      <c r="R10"/>
      <c r="S10"/>
      <c r="T10"/>
      <c r="U10"/>
    </row>
    <row r="11" spans="1:21" x14ac:dyDescent="0.25">
      <c r="A11" s="17" t="s">
        <v>15</v>
      </c>
      <c r="B11" s="22">
        <v>500000</v>
      </c>
      <c r="C11" s="23">
        <v>3</v>
      </c>
      <c r="D11" s="23" t="s">
        <v>16</v>
      </c>
      <c r="E11" s="18"/>
      <c r="F11" s="18"/>
      <c r="G11" s="18"/>
      <c r="H11"/>
      <c r="I11"/>
      <c r="J11"/>
      <c r="K11"/>
      <c r="L11"/>
      <c r="M11"/>
      <c r="N11"/>
      <c r="O11"/>
      <c r="P11"/>
      <c r="Q11"/>
      <c r="R11"/>
      <c r="S11"/>
      <c r="T11"/>
      <c r="U11"/>
    </row>
    <row r="12" spans="1:21" ht="15" customHeight="1" x14ac:dyDescent="0.25">
      <c r="A12" s="18"/>
      <c r="B12" s="18"/>
      <c r="C12" s="18"/>
      <c r="D12" s="18"/>
      <c r="E12" s="18"/>
      <c r="F12" s="18"/>
      <c r="G12" s="18"/>
      <c r="H12"/>
      <c r="I12"/>
      <c r="J12"/>
      <c r="K12"/>
      <c r="L12"/>
      <c r="M12"/>
      <c r="N12"/>
      <c r="O12"/>
      <c r="P12"/>
      <c r="Q12"/>
      <c r="R12"/>
      <c r="S12"/>
      <c r="T12"/>
      <c r="U12"/>
    </row>
    <row r="13" spans="1:21" ht="15" customHeight="1" x14ac:dyDescent="0.25">
      <c r="A13" s="18"/>
      <c r="B13" s="18"/>
      <c r="C13" s="18"/>
      <c r="D13" s="18"/>
      <c r="E13" s="18"/>
      <c r="F13" s="18"/>
      <c r="G13" s="18"/>
      <c r="H13"/>
      <c r="I13"/>
      <c r="J13"/>
      <c r="K13"/>
      <c r="L13"/>
      <c r="M13"/>
      <c r="N13"/>
      <c r="O13"/>
      <c r="P13"/>
      <c r="Q13"/>
      <c r="R13"/>
      <c r="S13"/>
      <c r="T13"/>
      <c r="U13"/>
    </row>
    <row r="14" spans="1:21" ht="15" customHeight="1" x14ac:dyDescent="0.25">
      <c r="A14" s="18"/>
      <c r="B14" s="18"/>
      <c r="C14" s="18"/>
      <c r="D14" s="18"/>
      <c r="E14" s="18"/>
      <c r="F14" s="18"/>
      <c r="G14" s="18"/>
      <c r="H14"/>
      <c r="I14"/>
      <c r="J14"/>
      <c r="K14"/>
      <c r="L14"/>
      <c r="M14"/>
      <c r="N14"/>
      <c r="O14"/>
      <c r="P14"/>
      <c r="Q14"/>
      <c r="R14"/>
      <c r="S14"/>
      <c r="T14"/>
      <c r="U14"/>
    </row>
    <row r="15" spans="1:21" ht="15" customHeight="1" x14ac:dyDescent="0.25">
      <c r="A15" s="18"/>
      <c r="B15" s="18"/>
      <c r="C15" s="18"/>
      <c r="D15" s="18"/>
      <c r="E15" s="18"/>
      <c r="F15" s="18"/>
      <c r="G15" s="18"/>
      <c r="H15"/>
      <c r="I15"/>
      <c r="J15"/>
      <c r="K15"/>
      <c r="L15"/>
      <c r="M15"/>
      <c r="N15"/>
      <c r="O15"/>
      <c r="P15"/>
      <c r="Q15"/>
      <c r="R15"/>
      <c r="S15"/>
      <c r="T15"/>
      <c r="U15"/>
    </row>
    <row r="16" spans="1:21" ht="15" customHeight="1" x14ac:dyDescent="0.25">
      <c r="A16" s="18"/>
      <c r="B16" s="18"/>
      <c r="C16" s="18"/>
      <c r="D16" s="18"/>
      <c r="E16" s="18"/>
      <c r="F16" s="18"/>
      <c r="G16" s="18"/>
      <c r="H16"/>
      <c r="I16"/>
      <c r="J16"/>
      <c r="K16"/>
      <c r="L16"/>
      <c r="M16"/>
      <c r="N16"/>
      <c r="O16"/>
      <c r="P16"/>
      <c r="Q16"/>
      <c r="R16"/>
      <c r="S16"/>
      <c r="T16"/>
      <c r="U16"/>
    </row>
    <row r="17" spans="1:21" ht="15" customHeight="1" x14ac:dyDescent="0.25">
      <c r="A17" s="18"/>
      <c r="B17" s="18"/>
      <c r="C17" s="18"/>
      <c r="D17" s="18"/>
      <c r="E17" s="18"/>
      <c r="F17" s="18"/>
      <c r="G17" s="18"/>
      <c r="H17"/>
      <c r="I17"/>
      <c r="J17"/>
      <c r="K17"/>
      <c r="L17"/>
      <c r="M17"/>
      <c r="N17"/>
      <c r="O17"/>
      <c r="P17"/>
      <c r="Q17"/>
      <c r="R17"/>
      <c r="S17"/>
      <c r="T17"/>
      <c r="U17"/>
    </row>
    <row r="18" spans="1:21" ht="15" customHeight="1" x14ac:dyDescent="0.25">
      <c r="A18" s="18"/>
      <c r="B18" s="18"/>
      <c r="C18" s="18"/>
      <c r="D18" s="18"/>
      <c r="E18" s="18"/>
      <c r="F18" s="18"/>
      <c r="G18" s="18"/>
      <c r="H18"/>
      <c r="I18"/>
      <c r="J18"/>
      <c r="K18"/>
      <c r="L18"/>
      <c r="M18"/>
      <c r="N18"/>
      <c r="O18"/>
      <c r="P18"/>
      <c r="Q18"/>
      <c r="R18"/>
      <c r="S18"/>
      <c r="T18"/>
      <c r="U18"/>
    </row>
    <row r="19" spans="1:21" ht="15" customHeight="1" x14ac:dyDescent="0.25">
      <c r="A19" s="18"/>
      <c r="B19" s="18"/>
      <c r="C19" s="18"/>
      <c r="D19" s="18"/>
      <c r="E19" s="18"/>
      <c r="F19" s="18"/>
      <c r="G19" s="18"/>
      <c r="H19"/>
      <c r="I19"/>
      <c r="J19"/>
      <c r="K19"/>
      <c r="L19"/>
      <c r="M19"/>
      <c r="N19"/>
      <c r="O19"/>
      <c r="P19"/>
      <c r="Q19"/>
      <c r="R19"/>
      <c r="S19"/>
      <c r="T19"/>
      <c r="U19"/>
    </row>
    <row r="20" spans="1:21" ht="15" customHeight="1" x14ac:dyDescent="0.25">
      <c r="A20" s="18"/>
      <c r="B20" s="18"/>
      <c r="C20" s="18"/>
      <c r="D20" s="18"/>
      <c r="E20" s="18"/>
      <c r="F20" s="18"/>
      <c r="G20" s="18"/>
      <c r="H20"/>
      <c r="I20"/>
      <c r="J20"/>
      <c r="K20"/>
      <c r="L20"/>
      <c r="M20"/>
      <c r="N20"/>
      <c r="O20"/>
      <c r="P20"/>
      <c r="Q20"/>
      <c r="R20"/>
      <c r="S20"/>
      <c r="T20"/>
      <c r="U20"/>
    </row>
    <row r="21" spans="1:21" ht="15.75" customHeight="1" x14ac:dyDescent="0.25">
      <c r="A21" s="18"/>
      <c r="B21" s="18"/>
      <c r="C21" s="18"/>
      <c r="D21" s="18"/>
      <c r="E21" s="18"/>
      <c r="F21" s="18"/>
      <c r="G21" s="18"/>
      <c r="H21" s="3"/>
      <c r="I21" s="3"/>
      <c r="J21"/>
      <c r="K21"/>
      <c r="L21"/>
      <c r="M21"/>
      <c r="N21"/>
      <c r="O21"/>
      <c r="P21"/>
      <c r="Q21"/>
      <c r="R21"/>
      <c r="S21"/>
      <c r="T21"/>
      <c r="U21"/>
    </row>
    <row r="22" spans="1:21" ht="15.75" customHeight="1" x14ac:dyDescent="0.25">
      <c r="A22" s="18"/>
      <c r="B22" s="18"/>
      <c r="C22" s="18"/>
      <c r="D22" s="18"/>
      <c r="E22" s="18"/>
      <c r="F22" s="18"/>
      <c r="G22" s="18"/>
      <c r="H22" s="3"/>
      <c r="I22" s="3"/>
      <c r="J22"/>
      <c r="K22"/>
      <c r="L22"/>
      <c r="M22"/>
      <c r="N22"/>
      <c r="O22"/>
      <c r="P22"/>
      <c r="Q22"/>
      <c r="R22"/>
      <c r="S22"/>
      <c r="T22"/>
      <c r="U22"/>
    </row>
    <row r="23" spans="1:21" ht="15.75" customHeight="1" x14ac:dyDescent="0.25">
      <c r="A23" s="18"/>
      <c r="B23" s="18"/>
      <c r="C23" s="18"/>
      <c r="D23" s="18"/>
      <c r="E23" s="18"/>
      <c r="F23" s="18"/>
      <c r="G23" s="18"/>
      <c r="H23" s="3"/>
      <c r="I23" s="3"/>
      <c r="J23"/>
      <c r="K23"/>
      <c r="L23"/>
      <c r="M23"/>
      <c r="N23"/>
      <c r="O23"/>
      <c r="P23"/>
      <c r="Q23"/>
      <c r="R23"/>
      <c r="S23"/>
      <c r="T23"/>
      <c r="U23"/>
    </row>
    <row r="24" spans="1:21" ht="15.75" customHeight="1" x14ac:dyDescent="0.25">
      <c r="A24" s="18"/>
      <c r="B24" s="18"/>
      <c r="C24" s="18"/>
      <c r="D24" s="18"/>
      <c r="E24" s="18"/>
      <c r="F24" s="18"/>
      <c r="G24" s="18"/>
      <c r="H24" s="3"/>
      <c r="I24" s="3"/>
      <c r="J24"/>
      <c r="K24"/>
      <c r="L24"/>
      <c r="M24"/>
      <c r="N24"/>
      <c r="O24"/>
      <c r="P24"/>
      <c r="Q24"/>
      <c r="R24"/>
      <c r="S24"/>
      <c r="T24"/>
      <c r="U24"/>
    </row>
    <row r="25" spans="1:21" ht="15.75" customHeight="1" x14ac:dyDescent="0.25">
      <c r="A25" s="18"/>
      <c r="B25" s="18"/>
      <c r="C25" s="18"/>
      <c r="D25" s="18"/>
      <c r="E25" s="18"/>
      <c r="F25" s="18"/>
      <c r="G25" s="18"/>
      <c r="H25" s="3"/>
      <c r="I25" s="3"/>
      <c r="J25"/>
      <c r="K25"/>
      <c r="L25"/>
      <c r="M25"/>
      <c r="N25"/>
      <c r="O25"/>
      <c r="P25"/>
      <c r="Q25"/>
      <c r="R25"/>
      <c r="S25"/>
      <c r="T25"/>
      <c r="U25"/>
    </row>
    <row r="26" spans="1:21" ht="15.75" customHeight="1" x14ac:dyDescent="0.25">
      <c r="A26" s="18"/>
      <c r="B26" s="18"/>
      <c r="C26" s="18"/>
      <c r="D26" s="18"/>
      <c r="E26" s="18"/>
      <c r="F26" s="18"/>
      <c r="G26" s="18"/>
      <c r="H26" s="3"/>
      <c r="I26" s="3"/>
      <c r="J26"/>
      <c r="K26"/>
      <c r="L26"/>
      <c r="M26"/>
      <c r="N26"/>
      <c r="O26"/>
      <c r="P26"/>
      <c r="Q26"/>
      <c r="R26"/>
      <c r="S26"/>
      <c r="T26"/>
      <c r="U26"/>
    </row>
    <row r="27" spans="1:21" ht="15.75" customHeight="1" x14ac:dyDescent="0.25">
      <c r="A27" s="18"/>
      <c r="B27" s="18"/>
      <c r="C27" s="18"/>
      <c r="D27" s="18"/>
      <c r="E27" s="18"/>
      <c r="F27" s="18"/>
      <c r="G27" s="18"/>
      <c r="H27" s="3"/>
      <c r="I27" s="3"/>
      <c r="J27"/>
      <c r="K27"/>
      <c r="L27"/>
      <c r="M27"/>
      <c r="N27"/>
      <c r="O27"/>
      <c r="P27"/>
      <c r="Q27"/>
      <c r="R27"/>
      <c r="S27"/>
      <c r="T27"/>
      <c r="U27"/>
    </row>
    <row r="28" spans="1:21" ht="15.75" customHeight="1" x14ac:dyDescent="0.25">
      <c r="A28" s="18"/>
      <c r="B28" s="18"/>
      <c r="C28" s="18"/>
      <c r="D28" s="18"/>
      <c r="E28" s="18"/>
      <c r="F28" s="18"/>
      <c r="G28" s="18"/>
      <c r="H28" s="3"/>
      <c r="I28" s="3"/>
      <c r="J28"/>
      <c r="K28"/>
      <c r="L28"/>
      <c r="M28"/>
      <c r="N28"/>
      <c r="O28"/>
      <c r="P28"/>
      <c r="Q28"/>
      <c r="R28"/>
      <c r="S28"/>
      <c r="T28"/>
      <c r="U28"/>
    </row>
    <row r="29" spans="1:21" ht="15.75" customHeight="1" x14ac:dyDescent="0.25">
      <c r="A29" s="18"/>
      <c r="B29" s="18"/>
      <c r="C29" s="18"/>
      <c r="D29" s="18"/>
      <c r="E29" s="18"/>
      <c r="F29" s="18"/>
      <c r="G29" s="18"/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1" ht="15.75" customHeight="1" x14ac:dyDescent="0.25">
      <c r="A30" s="18"/>
      <c r="B30" s="18"/>
      <c r="C30" s="18"/>
      <c r="D30" s="18"/>
      <c r="E30" s="18"/>
      <c r="F30" s="18"/>
      <c r="G30" s="18"/>
      <c r="H30"/>
      <c r="I30"/>
      <c r="J30"/>
      <c r="K30"/>
      <c r="L30"/>
      <c r="M30"/>
      <c r="N30"/>
      <c r="O30"/>
      <c r="P30"/>
      <c r="Q30"/>
      <c r="R30"/>
      <c r="S30"/>
      <c r="T30"/>
      <c r="U30"/>
    </row>
    <row r="31" spans="1:21" ht="15.75" customHeight="1" x14ac:dyDescent="0.25">
      <c r="A31" s="18"/>
      <c r="B31" s="18"/>
      <c r="C31" s="18"/>
      <c r="D31" s="18"/>
      <c r="E31" s="18"/>
      <c r="F31" s="18"/>
      <c r="G31" s="18"/>
      <c r="H31"/>
      <c r="I31"/>
      <c r="J31"/>
      <c r="K31"/>
      <c r="L31"/>
      <c r="M31"/>
      <c r="N31"/>
      <c r="O31"/>
      <c r="P31"/>
      <c r="Q31"/>
      <c r="R31"/>
      <c r="S31"/>
      <c r="T31"/>
      <c r="U31"/>
    </row>
    <row r="32" spans="1:21" ht="15.75" customHeight="1" x14ac:dyDescent="0.25">
      <c r="A32" s="18"/>
      <c r="B32" s="18"/>
      <c r="C32" s="18"/>
      <c r="D32" s="18"/>
      <c r="E32" s="18"/>
      <c r="F32" s="18"/>
      <c r="G32" s="18"/>
      <c r="H32"/>
      <c r="I32"/>
      <c r="J32"/>
      <c r="K32"/>
      <c r="L32"/>
      <c r="M32"/>
      <c r="N32"/>
      <c r="O32"/>
      <c r="P32"/>
      <c r="Q32"/>
      <c r="R32"/>
      <c r="S32"/>
      <c r="T32"/>
      <c r="U32"/>
    </row>
    <row r="33" spans="1:21" ht="15.75" customHeight="1" x14ac:dyDescent="0.25">
      <c r="A33" s="18"/>
      <c r="B33" s="18"/>
      <c r="C33" s="18"/>
      <c r="D33" s="18"/>
      <c r="E33" s="18"/>
      <c r="F33" s="18"/>
      <c r="G33" s="18"/>
      <c r="H33"/>
      <c r="I33"/>
      <c r="J33"/>
      <c r="K33"/>
      <c r="L33"/>
      <c r="M33"/>
      <c r="N33"/>
      <c r="O33"/>
      <c r="P33"/>
      <c r="Q33"/>
      <c r="R33"/>
      <c r="S33"/>
      <c r="T33"/>
      <c r="U33"/>
    </row>
    <row r="34" spans="1:21" ht="15.75" customHeight="1" x14ac:dyDescent="0.25">
      <c r="A34" s="18"/>
      <c r="B34" s="18"/>
      <c r="C34" s="18"/>
      <c r="D34" s="18"/>
      <c r="E34" s="18"/>
      <c r="F34" s="18"/>
      <c r="G34" s="18"/>
      <c r="H34"/>
      <c r="I34"/>
      <c r="J34"/>
      <c r="K34"/>
      <c r="L34"/>
      <c r="M34"/>
      <c r="N34"/>
      <c r="O34"/>
      <c r="P34"/>
      <c r="Q34"/>
      <c r="R34"/>
      <c r="S34"/>
      <c r="T34"/>
      <c r="U34"/>
    </row>
    <row r="35" spans="1:21" ht="15.75" customHeight="1" x14ac:dyDescent="0.25">
      <c r="A35" s="18"/>
      <c r="B35" s="18"/>
      <c r="C35" s="18"/>
      <c r="D35" s="18"/>
      <c r="E35" s="18"/>
      <c r="F35" s="18"/>
      <c r="G35" s="18"/>
      <c r="H35"/>
      <c r="I35"/>
      <c r="J35"/>
      <c r="K35"/>
      <c r="L35"/>
      <c r="M35"/>
      <c r="N35"/>
      <c r="O35"/>
      <c r="P35"/>
      <c r="Q35"/>
      <c r="R35"/>
      <c r="S35"/>
      <c r="T35"/>
      <c r="U35"/>
    </row>
    <row r="36" spans="1:21" ht="15.75" customHeight="1" x14ac:dyDescent="0.25">
      <c r="A36" s="18"/>
      <c r="B36" s="18"/>
      <c r="C36" s="18"/>
      <c r="D36" s="18"/>
      <c r="E36" s="18"/>
      <c r="F36" s="18"/>
      <c r="G36" s="18"/>
      <c r="H36"/>
      <c r="I36"/>
      <c r="J36"/>
      <c r="K36"/>
      <c r="L36"/>
      <c r="M36"/>
      <c r="N36"/>
      <c r="O36"/>
      <c r="P36"/>
      <c r="Q36"/>
      <c r="R36"/>
      <c r="S36"/>
      <c r="T36"/>
      <c r="U36"/>
    </row>
    <row r="37" spans="1:21" ht="15.75" customHeight="1" x14ac:dyDescent="0.25">
      <c r="A37" s="18"/>
      <c r="B37" s="18"/>
      <c r="C37" s="18"/>
      <c r="D37" s="18"/>
      <c r="E37" s="18"/>
      <c r="F37" s="18"/>
      <c r="G37" s="18"/>
      <c r="H37"/>
      <c r="I37"/>
      <c r="J37"/>
      <c r="K37"/>
      <c r="L37"/>
      <c r="M37"/>
      <c r="N37"/>
      <c r="O37"/>
      <c r="P37"/>
      <c r="Q37"/>
      <c r="R37"/>
      <c r="S37"/>
      <c r="T37"/>
      <c r="U37"/>
    </row>
    <row r="38" spans="1:21" ht="15.75" customHeight="1" x14ac:dyDescent="0.25">
      <c r="A38" s="18"/>
      <c r="B38" s="18"/>
      <c r="C38" s="18"/>
      <c r="D38" s="18"/>
      <c r="E38" s="18"/>
      <c r="F38" s="18"/>
      <c r="G38" s="18"/>
      <c r="H38"/>
      <c r="I38"/>
      <c r="J38"/>
      <c r="K38"/>
      <c r="L38"/>
      <c r="M38"/>
      <c r="N38"/>
      <c r="O38"/>
      <c r="P38"/>
      <c r="Q38"/>
      <c r="R38"/>
      <c r="S38"/>
      <c r="T38"/>
      <c r="U38"/>
    </row>
    <row r="39" spans="1:21" ht="15.75" customHeight="1" x14ac:dyDescent="0.25">
      <c r="A39" s="18"/>
      <c r="B39" s="18"/>
      <c r="C39" s="18"/>
      <c r="D39" s="18"/>
      <c r="E39" s="18"/>
      <c r="F39" s="18"/>
      <c r="G39" s="18"/>
      <c r="H39"/>
      <c r="I39"/>
      <c r="J39"/>
      <c r="K39"/>
      <c r="L39"/>
      <c r="M39"/>
      <c r="N39"/>
      <c r="O39"/>
      <c r="P39"/>
      <c r="Q39"/>
      <c r="R39"/>
      <c r="S39"/>
      <c r="T39"/>
      <c r="U39"/>
    </row>
    <row r="40" spans="1:21" ht="15.75" customHeight="1" x14ac:dyDescent="0.25">
      <c r="A40" s="18"/>
      <c r="B40" s="18"/>
      <c r="C40" s="18"/>
      <c r="D40" s="18"/>
      <c r="E40" s="18"/>
      <c r="F40" s="18"/>
      <c r="G40" s="18"/>
      <c r="H40"/>
      <c r="I40"/>
      <c r="J40"/>
      <c r="K40"/>
      <c r="L40"/>
      <c r="M40"/>
      <c r="N40"/>
      <c r="O40"/>
      <c r="P40"/>
      <c r="Q40"/>
      <c r="R40"/>
      <c r="S40"/>
      <c r="T40"/>
      <c r="U40"/>
    </row>
    <row r="41" spans="1:21" ht="15.75" customHeight="1" x14ac:dyDescent="0.25">
      <c r="A41" s="18"/>
      <c r="B41" s="18"/>
      <c r="C41" s="18"/>
      <c r="D41" s="18"/>
      <c r="E41" s="18"/>
      <c r="F41" s="18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/>
    </row>
    <row r="42" spans="1:21" ht="15.75" customHeight="1" x14ac:dyDescent="0.25">
      <c r="A42" s="18"/>
      <c r="B42" s="18"/>
      <c r="C42" s="18"/>
      <c r="D42" s="18"/>
      <c r="E42" s="18"/>
      <c r="F42" s="18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/>
    </row>
    <row r="43" spans="1:21" ht="15.75" customHeight="1" x14ac:dyDescent="0.25">
      <c r="A43" s="18"/>
      <c r="B43" s="18"/>
      <c r="C43" s="18"/>
      <c r="D43" s="18"/>
      <c r="E43" s="18"/>
      <c r="F43" s="18"/>
      <c r="G43" s="18"/>
      <c r="H43"/>
      <c r="I43"/>
      <c r="J43"/>
      <c r="K43"/>
      <c r="L43"/>
      <c r="M43"/>
      <c r="N43"/>
      <c r="O43"/>
      <c r="P43"/>
      <c r="Q43"/>
      <c r="R43"/>
      <c r="S43"/>
      <c r="T43"/>
      <c r="U43"/>
    </row>
    <row r="44" spans="1:21" ht="15.75" customHeight="1" x14ac:dyDescent="0.25">
      <c r="A44" s="18"/>
      <c r="B44" s="18"/>
      <c r="C44" s="18"/>
      <c r="D44" s="18"/>
      <c r="E44" s="18"/>
      <c r="F44" s="18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/>
    </row>
    <row r="45" spans="1:21" ht="15.75" customHeight="1" x14ac:dyDescent="0.25"/>
    <row r="46" spans="1:21" ht="15.75" customHeight="1" x14ac:dyDescent="0.25"/>
    <row r="47" spans="1:21" ht="15.75" customHeight="1" x14ac:dyDescent="0.25"/>
    <row r="48" spans="1:2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U1"/>
    <mergeCell ref="A2:U2"/>
    <mergeCell ref="A3:U3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0"/>
  <sheetViews>
    <sheetView showGridLines="0" tabSelected="1" zoomScale="75" zoomScaleNormal="75" workbookViewId="0">
      <pane xSplit="4" ySplit="7" topLeftCell="N8" activePane="bottomRight" state="frozen"/>
      <selection pane="topRight" activeCell="E1" sqref="E1"/>
      <selection pane="bottomLeft" activeCell="A8" sqref="A8"/>
      <selection pane="bottomRight" activeCell="I24" sqref="I24"/>
    </sheetView>
  </sheetViews>
  <sheetFormatPr defaultColWidth="14.42578125" defaultRowHeight="15" customHeight="1" x14ac:dyDescent="0.25"/>
  <cols>
    <col min="1" max="1" width="8.7109375" customWidth="1"/>
    <col min="2" max="2" width="22.28515625" bestFit="1" customWidth="1"/>
    <col min="3" max="3" width="19.42578125" bestFit="1" customWidth="1"/>
    <col min="4" max="4" width="32.140625" bestFit="1" customWidth="1"/>
    <col min="5" max="5" width="13.5703125" customWidth="1"/>
    <col min="6" max="6" width="19.140625" bestFit="1" customWidth="1"/>
    <col min="7" max="7" width="17.140625" bestFit="1" customWidth="1"/>
    <col min="8" max="9" width="13.5703125" style="15" customWidth="1"/>
    <col min="10" max="10" width="10.7109375" customWidth="1"/>
    <col min="11" max="11" width="10.42578125" customWidth="1"/>
    <col min="12" max="12" width="15.140625" bestFit="1" customWidth="1"/>
    <col min="13" max="13" width="14.85546875" style="27" customWidth="1"/>
    <col min="14" max="14" width="17.140625" customWidth="1"/>
    <col min="15" max="15" width="9.7109375" style="27" customWidth="1"/>
    <col min="16" max="16" width="17.85546875" style="15" customWidth="1"/>
    <col min="17" max="17" width="21.85546875" bestFit="1" customWidth="1"/>
    <col min="18" max="18" width="16.28515625" style="15" customWidth="1"/>
    <col min="19" max="19" width="16.85546875" style="15" customWidth="1"/>
    <col min="20" max="20" width="22.28515625" bestFit="1" customWidth="1"/>
    <col min="21" max="21" width="21.28515625" bestFit="1" customWidth="1"/>
    <col min="22" max="22" width="22" customWidth="1"/>
    <col min="23" max="26" width="8.7109375" customWidth="1"/>
  </cols>
  <sheetData>
    <row r="1" spans="1:22" s="16" customFormat="1" ht="23.25" customHeight="1" x14ac:dyDescent="0.35">
      <c r="A1" s="40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</row>
    <row r="2" spans="1:22" ht="15" customHeight="1" x14ac:dyDescent="0.25">
      <c r="A2" s="42" t="s">
        <v>1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</row>
    <row r="3" spans="1:22" ht="15" customHeight="1" thickBot="1" x14ac:dyDescent="0.3">
      <c r="A3" s="44" t="s">
        <v>2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</row>
    <row r="4" spans="1:22" ht="15" customHeight="1" thickTop="1" x14ac:dyDescent="0.25">
      <c r="A4" s="1"/>
      <c r="H4"/>
      <c r="I4"/>
      <c r="P4"/>
      <c r="R4"/>
      <c r="S4"/>
    </row>
    <row r="5" spans="1:22" ht="15" customHeight="1" x14ac:dyDescent="0.25">
      <c r="A5" s="12"/>
      <c r="B5" s="13"/>
      <c r="E5" s="4"/>
      <c r="F5" s="4"/>
      <c r="G5" s="5"/>
      <c r="H5" s="4"/>
      <c r="I5"/>
      <c r="K5" s="4"/>
      <c r="L5" s="4"/>
      <c r="M5" s="29"/>
      <c r="N5" s="4"/>
      <c r="P5"/>
      <c r="R5"/>
      <c r="S5"/>
    </row>
    <row r="6" spans="1:22" ht="15" customHeight="1" x14ac:dyDescent="0.25">
      <c r="A6" s="36" t="s">
        <v>17</v>
      </c>
      <c r="B6" s="36" t="s">
        <v>18</v>
      </c>
      <c r="C6" s="36" t="s">
        <v>19</v>
      </c>
      <c r="D6" s="36" t="s">
        <v>20</v>
      </c>
      <c r="E6" s="36" t="s">
        <v>21</v>
      </c>
      <c r="F6" s="36" t="s">
        <v>22</v>
      </c>
      <c r="G6" s="36" t="s">
        <v>23</v>
      </c>
      <c r="H6" s="36" t="s">
        <v>24</v>
      </c>
      <c r="I6" s="36" t="s">
        <v>25</v>
      </c>
      <c r="J6" s="36" t="s">
        <v>26</v>
      </c>
      <c r="K6" s="36" t="s">
        <v>6</v>
      </c>
      <c r="L6" s="36" t="s">
        <v>3</v>
      </c>
      <c r="M6" s="36" t="s">
        <v>5</v>
      </c>
      <c r="N6" s="36" t="s">
        <v>4</v>
      </c>
      <c r="O6" s="36" t="s">
        <v>27</v>
      </c>
      <c r="P6" s="36" t="s">
        <v>28</v>
      </c>
      <c r="Q6" s="36" t="s">
        <v>29</v>
      </c>
      <c r="R6" s="36" t="s">
        <v>30</v>
      </c>
      <c r="S6" s="36" t="s">
        <v>31</v>
      </c>
      <c r="T6" s="36" t="s">
        <v>32</v>
      </c>
      <c r="U6" s="38" t="s">
        <v>34</v>
      </c>
      <c r="V6" s="38" t="s">
        <v>33</v>
      </c>
    </row>
    <row r="7" spans="1:22" ht="15" customHeight="1" x14ac:dyDescent="0.25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9"/>
      <c r="N7" s="37"/>
      <c r="O7" s="39"/>
      <c r="P7" s="37"/>
      <c r="Q7" s="37"/>
      <c r="R7" s="37"/>
      <c r="S7" s="37"/>
      <c r="T7" s="37"/>
      <c r="U7" s="37"/>
      <c r="V7" s="37"/>
    </row>
    <row r="8" spans="1:22" ht="15" customHeight="1" x14ac:dyDescent="0.25">
      <c r="A8" s="6">
        <v>1</v>
      </c>
      <c r="B8" s="7" t="s">
        <v>35</v>
      </c>
      <c r="C8" s="7" t="s">
        <v>36</v>
      </c>
      <c r="D8" s="7" t="s">
        <v>37</v>
      </c>
      <c r="E8" s="2" t="str">
        <f>IF(LEFT(B8,1)="K","KTP","Paspor")</f>
        <v>KTP</v>
      </c>
      <c r="F8" s="2" t="str">
        <f>_xlfn.IFS(MID(B8,3,2)="BO","Booking Online",MID(B8,3,2)="WI","Walk-in",TRUE,"Booking via Telepon")</f>
        <v>Booking Online</v>
      </c>
      <c r="G8" s="9" t="str">
        <f>IF(MID(B8,15,1)="S","Staycation",IF(MID(B8,15,1)="T","Travelers","Perjalanan Bisnis"))</f>
        <v>Staycation</v>
      </c>
      <c r="H8" s="24">
        <f>DATEVALUE(MID(B8,6,8))</f>
        <v>45778</v>
      </c>
      <c r="I8" s="24">
        <f>_xlfn.IFS(G8="Staycation",H8+3,G8="Walk-in",H8+3,G8="Perjalanan Bisnis",H8+5,TRUE,H8+2)</f>
        <v>45781</v>
      </c>
      <c r="J8" s="6">
        <v>2</v>
      </c>
      <c r="K8" s="2" t="str">
        <f>RIGHT(B8,4)</f>
        <v>KMR1</v>
      </c>
      <c r="L8" s="2" t="str">
        <f>INDEX(Master_Data!$A$7:$A$11,MATCH(Reservation_Log!K8,Master_Data!$D$7:$D$11,0))</f>
        <v>Standard Room</v>
      </c>
      <c r="M8" s="28">
        <f>INDEX(Master_Data!$C$7:$C$11,MATCH(Reservation_Log!K8,Master_Data!$D$7:$D$11,0))</f>
        <v>2</v>
      </c>
      <c r="N8" s="25">
        <f>INDEX(Master_Data!$B$7:$B$11,MATCH(Reservation_Log!K8,Master_Data!$D$7:$D$11,0))</f>
        <v>800000</v>
      </c>
      <c r="O8" s="28" t="str">
        <f>I8-H8&amp;" hari"</f>
        <v>3 hari</v>
      </c>
      <c r="P8" s="26">
        <f>N8*SUBSTITUTE(O8," hari","")</f>
        <v>2400000</v>
      </c>
      <c r="Q8" s="11" t="s">
        <v>127</v>
      </c>
      <c r="R8" s="25">
        <f>_xlfn.IFS(Q8="Sarapan",75000,Q8="Box Bayi",150000,Q8="Layanan Antar-Jemput",200000,Q8="Laundry",50000,Q8="Paket Spa &amp; Pijat",300000,TRUE,0)</f>
        <v>75000</v>
      </c>
      <c r="S8" s="26">
        <f>P8+R8</f>
        <v>2475000</v>
      </c>
      <c r="T8" s="2" t="str">
        <f>_xlfn.IFS(F8="Booking Online","TF/VA/Kartu Kredit",F8="Walk-in","Tunai/Kartu Kredit/Debit",TRUE,"TF/Tunai")</f>
        <v>TF/VA/Kartu Kredit</v>
      </c>
      <c r="U8" s="2" t="str">
        <f ca="1">_xlfn.IFS(I8&lt;TODAY(),"sudah check out",I8&gt;TODAY(),"belum datang",TRUE,"sedang menginap ")</f>
        <v>sudah check out</v>
      </c>
      <c r="V8" s="14" t="str">
        <f ca="1">IF(AND(T8="Tunai/Kartu Kredit/Debit",U8="belum datang"),"Belum lunas","Lunas")</f>
        <v>Lunas</v>
      </c>
    </row>
    <row r="9" spans="1:22" ht="15" customHeight="1" x14ac:dyDescent="0.25">
      <c r="A9" s="6">
        <v>2</v>
      </c>
      <c r="B9" s="7" t="s">
        <v>38</v>
      </c>
      <c r="C9" s="7" t="s">
        <v>39</v>
      </c>
      <c r="D9" s="7" t="s">
        <v>40</v>
      </c>
      <c r="E9" s="2" t="str">
        <f t="shared" ref="E9:E37" si="0">IF(LEFT(B9,1)="K","KTP","Paspor")</f>
        <v>KTP</v>
      </c>
      <c r="F9" s="2" t="str">
        <f t="shared" ref="F9:F37" si="1">_xlfn.IFS(MID(B9,3,2)="BO","Booking Online",MID(B9,3,2)="WI","Walk-in",TRUE,"Booking via Telepon")</f>
        <v>Walk-in</v>
      </c>
      <c r="G9" s="9" t="str">
        <f t="shared" ref="G9:G37" si="2">IF(MID(B9,15,1)="S","Staycation",IF(MID(B9,15,1)="T","Travelers","Perjalanan Bisnis"))</f>
        <v>Staycation</v>
      </c>
      <c r="H9" s="24">
        <f t="shared" ref="H9:H37" si="3">DATEVALUE(MID(B9,6,8))</f>
        <v>45778</v>
      </c>
      <c r="I9" s="24">
        <f t="shared" ref="I9:I37" si="4">_xlfn.IFS(G9="Staycation",H9+3,G9="Walk-in",H9+3,G9="Perjalanan Bisnis",H9+5,TRUE,H9+2)</f>
        <v>45781</v>
      </c>
      <c r="J9" s="6">
        <v>3</v>
      </c>
      <c r="K9" s="2" t="str">
        <f t="shared" ref="K9:K37" si="5">RIGHT(B9,4)</f>
        <v>KMR5</v>
      </c>
      <c r="L9" s="2" t="str">
        <f>INDEX(Master_Data!$A$7:$A$11,MATCH(Reservation_Log!K9,Master_Data!$D$7:$D$11,0))</f>
        <v>Family Room</v>
      </c>
      <c r="M9" s="28">
        <f>INDEX(Master_Data!$C$7:$C$11,MATCH(Reservation_Log!K9,Master_Data!$D$7:$D$11,0))</f>
        <v>3</v>
      </c>
      <c r="N9" s="25">
        <f>INDEX(Master_Data!$B$7:$B$11,MATCH(Reservation_Log!K9,Master_Data!$D$7:$D$11,0))</f>
        <v>500000</v>
      </c>
      <c r="O9" s="28" t="str">
        <f t="shared" ref="O9:O37" si="6">I9-H9&amp;" hari"</f>
        <v>3 hari</v>
      </c>
      <c r="P9" s="26">
        <f t="shared" ref="P9:P37" si="7">N9*SUBSTITUTE(O9," hari","")</f>
        <v>1500000</v>
      </c>
      <c r="Q9" s="11" t="s">
        <v>126</v>
      </c>
      <c r="R9" s="25">
        <f t="shared" ref="R9:R37" si="8">_xlfn.IFS(Q9="Sarapan",75000,Q9="Box Bayi",150000,Q9="Layanan Antar-Jemput",200000,Q9="Laundry",50000,Q9="Paket Spa &amp; Pijat",300000,TRUE,0)</f>
        <v>150000</v>
      </c>
      <c r="S9" s="26">
        <f t="shared" ref="S9:S37" si="9">P9+R9</f>
        <v>1650000</v>
      </c>
      <c r="T9" s="2" t="str">
        <f t="shared" ref="T9:T37" si="10">_xlfn.IFS(F9="Booking Online","TF/VA/Kartu Kredit",F9="Walk-in","Tunai/Kartu Kredit/Debit",TRUE,"TF/Tunai")</f>
        <v>Tunai/Kartu Kredit/Debit</v>
      </c>
      <c r="U9" s="2" t="str">
        <f t="shared" ref="U9:U37" ca="1" si="11">_xlfn.IFS(I9&lt;TODAY(),"sudah check out",I9&gt;TODAY(),"belum datang",TRUE,"sedang menginap ")</f>
        <v>sudah check out</v>
      </c>
      <c r="V9" s="14" t="str">
        <f t="shared" ref="V9:V37" ca="1" si="12">IF(AND(T9="Tunai/Kartu Kredit/Debit",U9="belum datang"),"Belum lunas","Lunas")</f>
        <v>Lunas</v>
      </c>
    </row>
    <row r="10" spans="1:22" ht="15" customHeight="1" x14ac:dyDescent="0.25">
      <c r="A10" s="6">
        <v>3</v>
      </c>
      <c r="B10" s="7" t="s">
        <v>41</v>
      </c>
      <c r="C10" s="7" t="s">
        <v>42</v>
      </c>
      <c r="D10" s="7" t="s">
        <v>43</v>
      </c>
      <c r="E10" s="2" t="str">
        <f t="shared" si="0"/>
        <v>Paspor</v>
      </c>
      <c r="F10" s="2" t="str">
        <f t="shared" si="1"/>
        <v>Booking via Telepon</v>
      </c>
      <c r="G10" s="9" t="str">
        <f t="shared" si="2"/>
        <v>Perjalanan Bisnis</v>
      </c>
      <c r="H10" s="24">
        <f t="shared" si="3"/>
        <v>45778</v>
      </c>
      <c r="I10" s="24">
        <f t="shared" si="4"/>
        <v>45783</v>
      </c>
      <c r="J10" s="6">
        <v>1</v>
      </c>
      <c r="K10" s="2" t="str">
        <f t="shared" si="5"/>
        <v>KMR2</v>
      </c>
      <c r="L10" s="2" t="str">
        <f>INDEX(Master_Data!$A$7:$A$11,MATCH(Reservation_Log!K10,Master_Data!$D$7:$D$11,0))</f>
        <v>Superior Room</v>
      </c>
      <c r="M10" s="28">
        <f>INDEX(Master_Data!$C$7:$C$11,MATCH(Reservation_Log!K10,Master_Data!$D$7:$D$11,0))</f>
        <v>2</v>
      </c>
      <c r="N10" s="25">
        <f>INDEX(Master_Data!$B$7:$B$11,MATCH(Reservation_Log!K10,Master_Data!$D$7:$D$11,0))</f>
        <v>1200000</v>
      </c>
      <c r="O10" s="28" t="str">
        <f t="shared" si="6"/>
        <v>5 hari</v>
      </c>
      <c r="P10" s="26">
        <f t="shared" si="7"/>
        <v>6000000</v>
      </c>
      <c r="Q10" s="11" t="s">
        <v>125</v>
      </c>
      <c r="R10" s="25">
        <f t="shared" si="8"/>
        <v>0</v>
      </c>
      <c r="S10" s="26">
        <f t="shared" si="9"/>
        <v>6000000</v>
      </c>
      <c r="T10" s="2" t="str">
        <f t="shared" si="10"/>
        <v>TF/Tunai</v>
      </c>
      <c r="U10" s="2" t="str">
        <f t="shared" ca="1" si="11"/>
        <v>sudah check out</v>
      </c>
      <c r="V10" s="14" t="str">
        <f t="shared" ca="1" si="12"/>
        <v>Lunas</v>
      </c>
    </row>
    <row r="11" spans="1:22" ht="15" customHeight="1" x14ac:dyDescent="0.25">
      <c r="A11" s="6">
        <v>4</v>
      </c>
      <c r="B11" s="7" t="s">
        <v>44</v>
      </c>
      <c r="C11" s="7" t="s">
        <v>45</v>
      </c>
      <c r="D11" s="7" t="s">
        <v>46</v>
      </c>
      <c r="E11" s="2" t="str">
        <f t="shared" si="0"/>
        <v>KTP</v>
      </c>
      <c r="F11" s="2" t="str">
        <f t="shared" si="1"/>
        <v>Booking via Telepon</v>
      </c>
      <c r="G11" s="9" t="str">
        <f t="shared" si="2"/>
        <v>Travelers</v>
      </c>
      <c r="H11" s="24">
        <f t="shared" si="3"/>
        <v>45779</v>
      </c>
      <c r="I11" s="24">
        <f t="shared" si="4"/>
        <v>45781</v>
      </c>
      <c r="J11" s="6">
        <v>3</v>
      </c>
      <c r="K11" s="2" t="str">
        <f t="shared" si="5"/>
        <v>KMR4</v>
      </c>
      <c r="L11" s="2" t="str">
        <f>INDEX(Master_Data!$A$7:$A$11,MATCH(Reservation_Log!K11,Master_Data!$D$7:$D$11,0))</f>
        <v>Suite</v>
      </c>
      <c r="M11" s="28">
        <f>INDEX(Master_Data!$C$7:$C$11,MATCH(Reservation_Log!K11,Master_Data!$D$7:$D$11,0))</f>
        <v>4</v>
      </c>
      <c r="N11" s="25">
        <f>INDEX(Master_Data!$B$7:$B$11,MATCH(Reservation_Log!K11,Master_Data!$D$7:$D$11,0))</f>
        <v>2000000</v>
      </c>
      <c r="O11" s="28" t="str">
        <f t="shared" si="6"/>
        <v>2 hari</v>
      </c>
      <c r="P11" s="26">
        <f t="shared" si="7"/>
        <v>4000000</v>
      </c>
      <c r="Q11" s="11" t="s">
        <v>128</v>
      </c>
      <c r="R11" s="25">
        <f t="shared" si="8"/>
        <v>200000</v>
      </c>
      <c r="S11" s="26">
        <f t="shared" si="9"/>
        <v>4200000</v>
      </c>
      <c r="T11" s="2" t="str">
        <f t="shared" si="10"/>
        <v>TF/Tunai</v>
      </c>
      <c r="U11" s="2" t="str">
        <f t="shared" ca="1" si="11"/>
        <v>sudah check out</v>
      </c>
      <c r="V11" s="14" t="str">
        <f t="shared" ca="1" si="12"/>
        <v>Lunas</v>
      </c>
    </row>
    <row r="12" spans="1:22" ht="15" customHeight="1" x14ac:dyDescent="0.25">
      <c r="A12" s="6">
        <v>5</v>
      </c>
      <c r="B12" s="7" t="s">
        <v>47</v>
      </c>
      <c r="C12" s="7" t="s">
        <v>48</v>
      </c>
      <c r="D12" s="7" t="s">
        <v>49</v>
      </c>
      <c r="E12" s="2" t="str">
        <f t="shared" si="0"/>
        <v>Paspor</v>
      </c>
      <c r="F12" s="2" t="str">
        <f t="shared" si="1"/>
        <v>Walk-in</v>
      </c>
      <c r="G12" s="9" t="str">
        <f t="shared" si="2"/>
        <v>Staycation</v>
      </c>
      <c r="H12" s="24">
        <f t="shared" si="3"/>
        <v>45780</v>
      </c>
      <c r="I12" s="24">
        <f t="shared" si="4"/>
        <v>45783</v>
      </c>
      <c r="J12" s="6">
        <v>2</v>
      </c>
      <c r="K12" s="2" t="str">
        <f t="shared" si="5"/>
        <v>KMR3</v>
      </c>
      <c r="L12" s="2" t="str">
        <f>INDEX(Master_Data!$A$7:$A$11,MATCH(Reservation_Log!K12,Master_Data!$D$7:$D$11,0))</f>
        <v>Deluxe Room</v>
      </c>
      <c r="M12" s="28">
        <f>INDEX(Master_Data!$C$7:$C$11,MATCH(Reservation_Log!K12,Master_Data!$D$7:$D$11,0))</f>
        <v>2</v>
      </c>
      <c r="N12" s="25">
        <f>INDEX(Master_Data!$B$7:$B$11,MATCH(Reservation_Log!K12,Master_Data!$D$7:$D$11,0))</f>
        <v>1800000</v>
      </c>
      <c r="O12" s="28" t="str">
        <f t="shared" si="6"/>
        <v>3 hari</v>
      </c>
      <c r="P12" s="26">
        <f t="shared" si="7"/>
        <v>5400000</v>
      </c>
      <c r="Q12" s="11" t="s">
        <v>130</v>
      </c>
      <c r="R12" s="25">
        <f t="shared" si="8"/>
        <v>50000</v>
      </c>
      <c r="S12" s="26">
        <f t="shared" si="9"/>
        <v>5450000</v>
      </c>
      <c r="T12" s="2" t="str">
        <f t="shared" si="10"/>
        <v>Tunai/Kartu Kredit/Debit</v>
      </c>
      <c r="U12" s="2" t="str">
        <f t="shared" ca="1" si="11"/>
        <v>sudah check out</v>
      </c>
      <c r="V12" s="14" t="str">
        <f t="shared" ca="1" si="12"/>
        <v>Lunas</v>
      </c>
    </row>
    <row r="13" spans="1:22" ht="15" customHeight="1" x14ac:dyDescent="0.25">
      <c r="A13" s="6">
        <v>6</v>
      </c>
      <c r="B13" s="7" t="s">
        <v>50</v>
      </c>
      <c r="C13" s="7" t="s">
        <v>51</v>
      </c>
      <c r="D13" s="7" t="s">
        <v>52</v>
      </c>
      <c r="E13" s="2" t="str">
        <f t="shared" si="0"/>
        <v>KTP</v>
      </c>
      <c r="F13" s="2" t="str">
        <f t="shared" si="1"/>
        <v>Booking Online</v>
      </c>
      <c r="G13" s="9" t="str">
        <f t="shared" si="2"/>
        <v>Perjalanan Bisnis</v>
      </c>
      <c r="H13" s="24">
        <f t="shared" si="3"/>
        <v>45782</v>
      </c>
      <c r="I13" s="24">
        <f t="shared" si="4"/>
        <v>45787</v>
      </c>
      <c r="J13" s="6">
        <v>2</v>
      </c>
      <c r="K13" s="2" t="str">
        <f t="shared" si="5"/>
        <v>KMR2</v>
      </c>
      <c r="L13" s="2" t="str">
        <f>INDEX(Master_Data!$A$7:$A$11,MATCH(Reservation_Log!K13,Master_Data!$D$7:$D$11,0))</f>
        <v>Superior Room</v>
      </c>
      <c r="M13" s="28">
        <f>INDEX(Master_Data!$C$7:$C$11,MATCH(Reservation_Log!K13,Master_Data!$D$7:$D$11,0))</f>
        <v>2</v>
      </c>
      <c r="N13" s="25">
        <f>INDEX(Master_Data!$B$7:$B$11,MATCH(Reservation_Log!K13,Master_Data!$D$7:$D$11,0))</f>
        <v>1200000</v>
      </c>
      <c r="O13" s="28" t="str">
        <f t="shared" si="6"/>
        <v>5 hari</v>
      </c>
      <c r="P13" s="26">
        <f t="shared" si="7"/>
        <v>6000000</v>
      </c>
      <c r="Q13" s="11" t="s">
        <v>129</v>
      </c>
      <c r="R13" s="25">
        <f t="shared" si="8"/>
        <v>300000</v>
      </c>
      <c r="S13" s="26">
        <f t="shared" si="9"/>
        <v>6300000</v>
      </c>
      <c r="T13" s="2" t="str">
        <f t="shared" si="10"/>
        <v>TF/VA/Kartu Kredit</v>
      </c>
      <c r="U13" s="2" t="str">
        <f t="shared" ca="1" si="11"/>
        <v>sudah check out</v>
      </c>
      <c r="V13" s="14" t="str">
        <f t="shared" ca="1" si="12"/>
        <v>Lunas</v>
      </c>
    </row>
    <row r="14" spans="1:22" ht="15" customHeight="1" x14ac:dyDescent="0.25">
      <c r="A14" s="6">
        <v>7</v>
      </c>
      <c r="B14" s="7" t="s">
        <v>53</v>
      </c>
      <c r="C14" s="7" t="s">
        <v>54</v>
      </c>
      <c r="D14" s="7" t="s">
        <v>55</v>
      </c>
      <c r="E14" s="2" t="str">
        <f t="shared" si="0"/>
        <v>KTP</v>
      </c>
      <c r="F14" s="2" t="str">
        <f t="shared" si="1"/>
        <v>Walk-in</v>
      </c>
      <c r="G14" s="9" t="str">
        <f t="shared" si="2"/>
        <v>Travelers</v>
      </c>
      <c r="H14" s="24">
        <f t="shared" si="3"/>
        <v>45782</v>
      </c>
      <c r="I14" s="24">
        <f t="shared" si="4"/>
        <v>45784</v>
      </c>
      <c r="J14" s="6">
        <v>1</v>
      </c>
      <c r="K14" s="2" t="str">
        <f t="shared" si="5"/>
        <v>KMR2</v>
      </c>
      <c r="L14" s="2" t="str">
        <f>INDEX(Master_Data!$A$7:$A$11,MATCH(Reservation_Log!K14,Master_Data!$D$7:$D$11,0))</f>
        <v>Superior Room</v>
      </c>
      <c r="M14" s="28">
        <f>INDEX(Master_Data!$C$7:$C$11,MATCH(Reservation_Log!K14,Master_Data!$D$7:$D$11,0))</f>
        <v>2</v>
      </c>
      <c r="N14" s="25">
        <f>INDEX(Master_Data!$B$7:$B$11,MATCH(Reservation_Log!K14,Master_Data!$D$7:$D$11,0))</f>
        <v>1200000</v>
      </c>
      <c r="O14" s="28" t="str">
        <f t="shared" si="6"/>
        <v>2 hari</v>
      </c>
      <c r="P14" s="26">
        <f t="shared" si="7"/>
        <v>2400000</v>
      </c>
      <c r="Q14" s="11" t="s">
        <v>125</v>
      </c>
      <c r="R14" s="25">
        <f t="shared" si="8"/>
        <v>0</v>
      </c>
      <c r="S14" s="26">
        <f t="shared" si="9"/>
        <v>2400000</v>
      </c>
      <c r="T14" s="2" t="str">
        <f t="shared" si="10"/>
        <v>Tunai/Kartu Kredit/Debit</v>
      </c>
      <c r="U14" s="2" t="str">
        <f t="shared" ca="1" si="11"/>
        <v>sudah check out</v>
      </c>
      <c r="V14" s="14" t="str">
        <f t="shared" ca="1" si="12"/>
        <v>Lunas</v>
      </c>
    </row>
    <row r="15" spans="1:22" ht="15" customHeight="1" x14ac:dyDescent="0.25">
      <c r="A15" s="6">
        <v>8</v>
      </c>
      <c r="B15" s="7" t="s">
        <v>56</v>
      </c>
      <c r="C15" s="7" t="s">
        <v>57</v>
      </c>
      <c r="D15" s="7" t="s">
        <v>58</v>
      </c>
      <c r="E15" s="2" t="str">
        <f t="shared" si="0"/>
        <v>KTP</v>
      </c>
      <c r="F15" s="2" t="str">
        <f t="shared" si="1"/>
        <v>Booking via Telepon</v>
      </c>
      <c r="G15" s="9" t="str">
        <f t="shared" si="2"/>
        <v>Travelers</v>
      </c>
      <c r="H15" s="24">
        <f t="shared" si="3"/>
        <v>45784</v>
      </c>
      <c r="I15" s="24">
        <f t="shared" si="4"/>
        <v>45786</v>
      </c>
      <c r="J15" s="6">
        <v>2</v>
      </c>
      <c r="K15" s="2" t="str">
        <f t="shared" si="5"/>
        <v>KMR2</v>
      </c>
      <c r="L15" s="2" t="str">
        <f>INDEX(Master_Data!$A$7:$A$11,MATCH(Reservation_Log!K15,Master_Data!$D$7:$D$11,0))</f>
        <v>Superior Room</v>
      </c>
      <c r="M15" s="28">
        <f>INDEX(Master_Data!$C$7:$C$11,MATCH(Reservation_Log!K15,Master_Data!$D$7:$D$11,0))</f>
        <v>2</v>
      </c>
      <c r="N15" s="25">
        <f>INDEX(Master_Data!$B$7:$B$11,MATCH(Reservation_Log!K15,Master_Data!$D$7:$D$11,0))</f>
        <v>1200000</v>
      </c>
      <c r="O15" s="28" t="str">
        <f t="shared" si="6"/>
        <v>2 hari</v>
      </c>
      <c r="P15" s="26">
        <f t="shared" si="7"/>
        <v>2400000</v>
      </c>
      <c r="Q15" s="11" t="s">
        <v>125</v>
      </c>
      <c r="R15" s="25">
        <f t="shared" si="8"/>
        <v>0</v>
      </c>
      <c r="S15" s="26">
        <f t="shared" si="9"/>
        <v>2400000</v>
      </c>
      <c r="T15" s="2" t="str">
        <f t="shared" si="10"/>
        <v>TF/Tunai</v>
      </c>
      <c r="U15" s="2" t="str">
        <f t="shared" ca="1" si="11"/>
        <v>sudah check out</v>
      </c>
      <c r="V15" s="14" t="str">
        <f t="shared" ca="1" si="12"/>
        <v>Lunas</v>
      </c>
    </row>
    <row r="16" spans="1:22" ht="15" customHeight="1" x14ac:dyDescent="0.25">
      <c r="A16" s="6">
        <v>9</v>
      </c>
      <c r="B16" s="7" t="s">
        <v>59</v>
      </c>
      <c r="C16" s="7" t="s">
        <v>60</v>
      </c>
      <c r="D16" s="7" t="s">
        <v>61</v>
      </c>
      <c r="E16" s="2" t="str">
        <f t="shared" si="0"/>
        <v>Paspor</v>
      </c>
      <c r="F16" s="2" t="str">
        <f t="shared" si="1"/>
        <v>Booking Online</v>
      </c>
      <c r="G16" s="9" t="str">
        <f t="shared" si="2"/>
        <v>Perjalanan Bisnis</v>
      </c>
      <c r="H16" s="24">
        <f t="shared" si="3"/>
        <v>45787</v>
      </c>
      <c r="I16" s="24">
        <f t="shared" si="4"/>
        <v>45792</v>
      </c>
      <c r="J16" s="6">
        <v>4</v>
      </c>
      <c r="K16" s="2" t="str">
        <f t="shared" si="5"/>
        <v>KMR4</v>
      </c>
      <c r="L16" s="2" t="str">
        <f>INDEX(Master_Data!$A$7:$A$11,MATCH(Reservation_Log!K16,Master_Data!$D$7:$D$11,0))</f>
        <v>Suite</v>
      </c>
      <c r="M16" s="28">
        <f>INDEX(Master_Data!$C$7:$C$11,MATCH(Reservation_Log!K16,Master_Data!$D$7:$D$11,0))</f>
        <v>4</v>
      </c>
      <c r="N16" s="25">
        <f>INDEX(Master_Data!$B$7:$B$11,MATCH(Reservation_Log!K16,Master_Data!$D$7:$D$11,0))</f>
        <v>2000000</v>
      </c>
      <c r="O16" s="28" t="str">
        <f t="shared" si="6"/>
        <v>5 hari</v>
      </c>
      <c r="P16" s="26">
        <f t="shared" si="7"/>
        <v>10000000</v>
      </c>
      <c r="Q16" s="11" t="s">
        <v>125</v>
      </c>
      <c r="R16" s="25">
        <f t="shared" si="8"/>
        <v>0</v>
      </c>
      <c r="S16" s="26">
        <f t="shared" si="9"/>
        <v>10000000</v>
      </c>
      <c r="T16" s="2" t="str">
        <f t="shared" si="10"/>
        <v>TF/VA/Kartu Kredit</v>
      </c>
      <c r="U16" s="2" t="str">
        <f t="shared" ca="1" si="11"/>
        <v>sudah check out</v>
      </c>
      <c r="V16" s="14" t="str">
        <f t="shared" ca="1" si="12"/>
        <v>Lunas</v>
      </c>
    </row>
    <row r="17" spans="1:22" ht="15" customHeight="1" x14ac:dyDescent="0.25">
      <c r="A17" s="6">
        <v>10</v>
      </c>
      <c r="B17" s="7" t="s">
        <v>62</v>
      </c>
      <c r="C17" s="7" t="s">
        <v>63</v>
      </c>
      <c r="D17" s="7" t="s">
        <v>64</v>
      </c>
      <c r="E17" s="2" t="str">
        <f t="shared" si="0"/>
        <v>Paspor</v>
      </c>
      <c r="F17" s="2" t="str">
        <f t="shared" si="1"/>
        <v>Booking Online</v>
      </c>
      <c r="G17" s="9" t="str">
        <f t="shared" si="2"/>
        <v>Staycation</v>
      </c>
      <c r="H17" s="24">
        <f t="shared" si="3"/>
        <v>45790</v>
      </c>
      <c r="I17" s="24">
        <f t="shared" si="4"/>
        <v>45793</v>
      </c>
      <c r="J17" s="6">
        <v>1</v>
      </c>
      <c r="K17" s="2" t="str">
        <f t="shared" si="5"/>
        <v>KMR1</v>
      </c>
      <c r="L17" s="2" t="str">
        <f>INDEX(Master_Data!$A$7:$A$11,MATCH(Reservation_Log!K17,Master_Data!$D$7:$D$11,0))</f>
        <v>Standard Room</v>
      </c>
      <c r="M17" s="28">
        <f>INDEX(Master_Data!$C$7:$C$11,MATCH(Reservation_Log!K17,Master_Data!$D$7:$D$11,0))</f>
        <v>2</v>
      </c>
      <c r="N17" s="25">
        <f>INDEX(Master_Data!$B$7:$B$11,MATCH(Reservation_Log!K17,Master_Data!$D$7:$D$11,0))</f>
        <v>800000</v>
      </c>
      <c r="O17" s="28" t="str">
        <f t="shared" si="6"/>
        <v>3 hari</v>
      </c>
      <c r="P17" s="26">
        <f t="shared" si="7"/>
        <v>2400000</v>
      </c>
      <c r="Q17" s="11" t="s">
        <v>127</v>
      </c>
      <c r="R17" s="25">
        <f t="shared" si="8"/>
        <v>75000</v>
      </c>
      <c r="S17" s="26">
        <f t="shared" si="9"/>
        <v>2475000</v>
      </c>
      <c r="T17" s="2" t="str">
        <f t="shared" si="10"/>
        <v>TF/VA/Kartu Kredit</v>
      </c>
      <c r="U17" s="2" t="str">
        <f t="shared" ca="1" si="11"/>
        <v>sudah check out</v>
      </c>
      <c r="V17" s="14" t="str">
        <f t="shared" ca="1" si="12"/>
        <v>Lunas</v>
      </c>
    </row>
    <row r="18" spans="1:22" ht="15" customHeight="1" x14ac:dyDescent="0.25">
      <c r="A18" s="6">
        <v>11</v>
      </c>
      <c r="B18" s="7" t="s">
        <v>65</v>
      </c>
      <c r="C18" s="7" t="s">
        <v>66</v>
      </c>
      <c r="D18" s="7" t="s">
        <v>67</v>
      </c>
      <c r="E18" s="2" t="str">
        <f t="shared" si="0"/>
        <v>Paspor</v>
      </c>
      <c r="F18" s="2" t="str">
        <f t="shared" si="1"/>
        <v>Walk-in</v>
      </c>
      <c r="G18" s="9" t="str">
        <f t="shared" si="2"/>
        <v>Staycation</v>
      </c>
      <c r="H18" s="24">
        <f t="shared" si="3"/>
        <v>45792</v>
      </c>
      <c r="I18" s="24">
        <f t="shared" si="4"/>
        <v>45795</v>
      </c>
      <c r="J18" s="6">
        <v>1</v>
      </c>
      <c r="K18" s="2" t="str">
        <f t="shared" si="5"/>
        <v>KMR5</v>
      </c>
      <c r="L18" s="2" t="str">
        <f>INDEX(Master_Data!$A$7:$A$11,MATCH(Reservation_Log!K18,Master_Data!$D$7:$D$11,0))</f>
        <v>Family Room</v>
      </c>
      <c r="M18" s="28">
        <f>INDEX(Master_Data!$C$7:$C$11,MATCH(Reservation_Log!K18,Master_Data!$D$7:$D$11,0))</f>
        <v>3</v>
      </c>
      <c r="N18" s="25">
        <f>INDEX(Master_Data!$B$7:$B$11,MATCH(Reservation_Log!K18,Master_Data!$D$7:$D$11,0))</f>
        <v>500000</v>
      </c>
      <c r="O18" s="28" t="str">
        <f t="shared" si="6"/>
        <v>3 hari</v>
      </c>
      <c r="P18" s="26">
        <f t="shared" si="7"/>
        <v>1500000</v>
      </c>
      <c r="Q18" s="11" t="s">
        <v>126</v>
      </c>
      <c r="R18" s="25">
        <f t="shared" si="8"/>
        <v>150000</v>
      </c>
      <c r="S18" s="26">
        <f t="shared" si="9"/>
        <v>1650000</v>
      </c>
      <c r="T18" s="2" t="str">
        <f t="shared" si="10"/>
        <v>Tunai/Kartu Kredit/Debit</v>
      </c>
      <c r="U18" s="2" t="str">
        <f t="shared" ca="1" si="11"/>
        <v>sudah check out</v>
      </c>
      <c r="V18" s="14" t="str">
        <f t="shared" ca="1" si="12"/>
        <v>Lunas</v>
      </c>
    </row>
    <row r="19" spans="1:22" ht="15" customHeight="1" x14ac:dyDescent="0.25">
      <c r="A19" s="6">
        <v>12</v>
      </c>
      <c r="B19" s="7" t="s">
        <v>68</v>
      </c>
      <c r="C19" s="7" t="s">
        <v>69</v>
      </c>
      <c r="D19" s="7" t="s">
        <v>70</v>
      </c>
      <c r="E19" s="2" t="str">
        <f t="shared" si="0"/>
        <v>KTP</v>
      </c>
      <c r="F19" s="2" t="str">
        <f t="shared" si="1"/>
        <v>Walk-in</v>
      </c>
      <c r="G19" s="9" t="str">
        <f t="shared" si="2"/>
        <v>Travelers</v>
      </c>
      <c r="H19" s="24">
        <f t="shared" si="3"/>
        <v>45792</v>
      </c>
      <c r="I19" s="24">
        <f t="shared" si="4"/>
        <v>45794</v>
      </c>
      <c r="J19" s="6">
        <v>3</v>
      </c>
      <c r="K19" s="2" t="str">
        <f t="shared" si="5"/>
        <v>KMR5</v>
      </c>
      <c r="L19" s="2" t="str">
        <f>INDEX(Master_Data!$A$7:$A$11,MATCH(Reservation_Log!K19,Master_Data!$D$7:$D$11,0))</f>
        <v>Family Room</v>
      </c>
      <c r="M19" s="28">
        <f>INDEX(Master_Data!$C$7:$C$11,MATCH(Reservation_Log!K19,Master_Data!$D$7:$D$11,0))</f>
        <v>3</v>
      </c>
      <c r="N19" s="25">
        <f>INDEX(Master_Data!$B$7:$B$11,MATCH(Reservation_Log!K19,Master_Data!$D$7:$D$11,0))</f>
        <v>500000</v>
      </c>
      <c r="O19" s="28" t="str">
        <f t="shared" si="6"/>
        <v>2 hari</v>
      </c>
      <c r="P19" s="26">
        <f t="shared" si="7"/>
        <v>1000000</v>
      </c>
      <c r="Q19" s="11" t="s">
        <v>125</v>
      </c>
      <c r="R19" s="25">
        <f t="shared" si="8"/>
        <v>0</v>
      </c>
      <c r="S19" s="26">
        <f t="shared" si="9"/>
        <v>1000000</v>
      </c>
      <c r="T19" s="2" t="str">
        <f t="shared" si="10"/>
        <v>Tunai/Kartu Kredit/Debit</v>
      </c>
      <c r="U19" s="2" t="str">
        <f t="shared" ca="1" si="11"/>
        <v>sudah check out</v>
      </c>
      <c r="V19" s="14" t="str">
        <f t="shared" ca="1" si="12"/>
        <v>Lunas</v>
      </c>
    </row>
    <row r="20" spans="1:22" ht="15" customHeight="1" x14ac:dyDescent="0.25">
      <c r="A20" s="6">
        <v>13</v>
      </c>
      <c r="B20" s="7" t="s">
        <v>71</v>
      </c>
      <c r="C20" s="7" t="s">
        <v>72</v>
      </c>
      <c r="D20" s="8" t="s">
        <v>73</v>
      </c>
      <c r="E20" s="2" t="str">
        <f t="shared" si="0"/>
        <v>Paspor</v>
      </c>
      <c r="F20" s="2" t="str">
        <f t="shared" si="1"/>
        <v>Booking via Telepon</v>
      </c>
      <c r="G20" s="9" t="str">
        <f t="shared" si="2"/>
        <v>Perjalanan Bisnis</v>
      </c>
      <c r="H20" s="24">
        <f t="shared" si="3"/>
        <v>45794</v>
      </c>
      <c r="I20" s="24">
        <f t="shared" si="4"/>
        <v>45799</v>
      </c>
      <c r="J20" s="6">
        <v>2</v>
      </c>
      <c r="K20" s="2" t="str">
        <f t="shared" si="5"/>
        <v>KMR4</v>
      </c>
      <c r="L20" s="2" t="str">
        <f>INDEX(Master_Data!$A$7:$A$11,MATCH(Reservation_Log!K20,Master_Data!$D$7:$D$11,0))</f>
        <v>Suite</v>
      </c>
      <c r="M20" s="28">
        <f>INDEX(Master_Data!$C$7:$C$11,MATCH(Reservation_Log!K20,Master_Data!$D$7:$D$11,0))</f>
        <v>4</v>
      </c>
      <c r="N20" s="25">
        <f>INDEX(Master_Data!$B$7:$B$11,MATCH(Reservation_Log!K20,Master_Data!$D$7:$D$11,0))</f>
        <v>2000000</v>
      </c>
      <c r="O20" s="28" t="str">
        <f t="shared" si="6"/>
        <v>5 hari</v>
      </c>
      <c r="P20" s="26">
        <f t="shared" si="7"/>
        <v>10000000</v>
      </c>
      <c r="Q20" s="11" t="s">
        <v>129</v>
      </c>
      <c r="R20" s="25">
        <f t="shared" si="8"/>
        <v>300000</v>
      </c>
      <c r="S20" s="26">
        <f t="shared" si="9"/>
        <v>10300000</v>
      </c>
      <c r="T20" s="2" t="str">
        <f t="shared" si="10"/>
        <v>TF/Tunai</v>
      </c>
      <c r="U20" s="2" t="str">
        <f t="shared" ca="1" si="11"/>
        <v>sudah check out</v>
      </c>
      <c r="V20" s="14" t="str">
        <f t="shared" ca="1" si="12"/>
        <v>Lunas</v>
      </c>
    </row>
    <row r="21" spans="1:22" ht="15.75" customHeight="1" x14ac:dyDescent="0.25">
      <c r="A21" s="6">
        <v>14</v>
      </c>
      <c r="B21" s="7" t="s">
        <v>74</v>
      </c>
      <c r="C21" s="7" t="s">
        <v>75</v>
      </c>
      <c r="D21" s="7" t="s">
        <v>76</v>
      </c>
      <c r="E21" s="2" t="str">
        <f t="shared" si="0"/>
        <v>Paspor</v>
      </c>
      <c r="F21" s="2" t="str">
        <f t="shared" si="1"/>
        <v>Booking Online</v>
      </c>
      <c r="G21" s="9" t="str">
        <f t="shared" si="2"/>
        <v>Perjalanan Bisnis</v>
      </c>
      <c r="H21" s="24">
        <f t="shared" si="3"/>
        <v>45795</v>
      </c>
      <c r="I21" s="24">
        <f t="shared" si="4"/>
        <v>45800</v>
      </c>
      <c r="J21" s="6">
        <v>1</v>
      </c>
      <c r="K21" s="2" t="str">
        <f t="shared" si="5"/>
        <v>KMR3</v>
      </c>
      <c r="L21" s="2" t="str">
        <f>INDEX(Master_Data!$A$7:$A$11,MATCH(Reservation_Log!K21,Master_Data!$D$7:$D$11,0))</f>
        <v>Deluxe Room</v>
      </c>
      <c r="M21" s="28">
        <f>INDEX(Master_Data!$C$7:$C$11,MATCH(Reservation_Log!K21,Master_Data!$D$7:$D$11,0))</f>
        <v>2</v>
      </c>
      <c r="N21" s="25">
        <f>INDEX(Master_Data!$B$7:$B$11,MATCH(Reservation_Log!K21,Master_Data!$D$7:$D$11,0))</f>
        <v>1800000</v>
      </c>
      <c r="O21" s="28" t="str">
        <f t="shared" si="6"/>
        <v>5 hari</v>
      </c>
      <c r="P21" s="26">
        <f t="shared" si="7"/>
        <v>9000000</v>
      </c>
      <c r="Q21" s="11" t="s">
        <v>130</v>
      </c>
      <c r="R21" s="25">
        <f t="shared" si="8"/>
        <v>50000</v>
      </c>
      <c r="S21" s="26">
        <f t="shared" si="9"/>
        <v>9050000</v>
      </c>
      <c r="T21" s="2" t="str">
        <f t="shared" si="10"/>
        <v>TF/VA/Kartu Kredit</v>
      </c>
      <c r="U21" s="2" t="str">
        <f t="shared" ca="1" si="11"/>
        <v>sudah check out</v>
      </c>
      <c r="V21" s="14" t="str">
        <f t="shared" ca="1" si="12"/>
        <v>Lunas</v>
      </c>
    </row>
    <row r="22" spans="1:22" ht="15.75" customHeight="1" x14ac:dyDescent="0.25">
      <c r="A22" s="6">
        <v>15</v>
      </c>
      <c r="B22" s="7" t="s">
        <v>77</v>
      </c>
      <c r="C22" s="7" t="s">
        <v>78</v>
      </c>
      <c r="D22" s="7" t="s">
        <v>79</v>
      </c>
      <c r="E22" s="2" t="str">
        <f t="shared" si="0"/>
        <v>Paspor</v>
      </c>
      <c r="F22" s="2" t="str">
        <f t="shared" si="1"/>
        <v>Walk-in</v>
      </c>
      <c r="G22" s="9" t="str">
        <f t="shared" si="2"/>
        <v>Perjalanan Bisnis</v>
      </c>
      <c r="H22" s="24">
        <f t="shared" si="3"/>
        <v>45796</v>
      </c>
      <c r="I22" s="24">
        <f t="shared" si="4"/>
        <v>45801</v>
      </c>
      <c r="J22" s="6">
        <v>2</v>
      </c>
      <c r="K22" s="2" t="str">
        <f t="shared" si="5"/>
        <v>KMR2</v>
      </c>
      <c r="L22" s="2" t="str">
        <f>INDEX(Master_Data!$A$7:$A$11,MATCH(Reservation_Log!K22,Master_Data!$D$7:$D$11,0))</f>
        <v>Superior Room</v>
      </c>
      <c r="M22" s="28">
        <f>INDEX(Master_Data!$C$7:$C$11,MATCH(Reservation_Log!K22,Master_Data!$D$7:$D$11,0))</f>
        <v>2</v>
      </c>
      <c r="N22" s="25">
        <f>INDEX(Master_Data!$B$7:$B$11,MATCH(Reservation_Log!K22,Master_Data!$D$7:$D$11,0))</f>
        <v>1200000</v>
      </c>
      <c r="O22" s="28" t="str">
        <f t="shared" si="6"/>
        <v>5 hari</v>
      </c>
      <c r="P22" s="26">
        <f t="shared" si="7"/>
        <v>6000000</v>
      </c>
      <c r="Q22" s="11" t="s">
        <v>125</v>
      </c>
      <c r="R22" s="25">
        <f t="shared" si="8"/>
        <v>0</v>
      </c>
      <c r="S22" s="26">
        <f t="shared" si="9"/>
        <v>6000000</v>
      </c>
      <c r="T22" s="2" t="str">
        <f t="shared" si="10"/>
        <v>Tunai/Kartu Kredit/Debit</v>
      </c>
      <c r="U22" s="2" t="str">
        <f t="shared" ca="1" si="11"/>
        <v>sudah check out</v>
      </c>
      <c r="V22" s="14" t="str">
        <f t="shared" ca="1" si="12"/>
        <v>Lunas</v>
      </c>
    </row>
    <row r="23" spans="1:22" ht="15.75" customHeight="1" x14ac:dyDescent="0.25">
      <c r="A23" s="6">
        <v>16</v>
      </c>
      <c r="B23" s="7" t="s">
        <v>80</v>
      </c>
      <c r="C23" s="7" t="s">
        <v>81</v>
      </c>
      <c r="D23" s="7" t="s">
        <v>82</v>
      </c>
      <c r="E23" s="2" t="str">
        <f t="shared" si="0"/>
        <v>KTP</v>
      </c>
      <c r="F23" s="2" t="str">
        <f t="shared" si="1"/>
        <v>Booking Online</v>
      </c>
      <c r="G23" s="9" t="str">
        <f t="shared" si="2"/>
        <v>Staycation</v>
      </c>
      <c r="H23" s="24">
        <f t="shared" si="3"/>
        <v>45797</v>
      </c>
      <c r="I23" s="24">
        <f t="shared" si="4"/>
        <v>45800</v>
      </c>
      <c r="J23" s="6">
        <v>2</v>
      </c>
      <c r="K23" s="2" t="str">
        <f t="shared" si="5"/>
        <v>KMR5</v>
      </c>
      <c r="L23" s="2" t="str">
        <f>INDEX(Master_Data!$A$7:$A$11,MATCH(Reservation_Log!K23,Master_Data!$D$7:$D$11,0))</f>
        <v>Family Room</v>
      </c>
      <c r="M23" s="28">
        <f>INDEX(Master_Data!$C$7:$C$11,MATCH(Reservation_Log!K23,Master_Data!$D$7:$D$11,0))</f>
        <v>3</v>
      </c>
      <c r="N23" s="25">
        <f>INDEX(Master_Data!$B$7:$B$11,MATCH(Reservation_Log!K23,Master_Data!$D$7:$D$11,0))</f>
        <v>500000</v>
      </c>
      <c r="O23" s="28" t="str">
        <f t="shared" si="6"/>
        <v>3 hari</v>
      </c>
      <c r="P23" s="26">
        <f t="shared" si="7"/>
        <v>1500000</v>
      </c>
      <c r="Q23" s="11" t="s">
        <v>125</v>
      </c>
      <c r="R23" s="25">
        <f t="shared" si="8"/>
        <v>0</v>
      </c>
      <c r="S23" s="26">
        <f t="shared" si="9"/>
        <v>1500000</v>
      </c>
      <c r="T23" s="2" t="str">
        <f t="shared" si="10"/>
        <v>TF/VA/Kartu Kredit</v>
      </c>
      <c r="U23" s="2" t="str">
        <f t="shared" ca="1" si="11"/>
        <v>sudah check out</v>
      </c>
      <c r="V23" s="14" t="str">
        <f t="shared" ca="1" si="12"/>
        <v>Lunas</v>
      </c>
    </row>
    <row r="24" spans="1:22" ht="15.75" customHeight="1" x14ac:dyDescent="0.25">
      <c r="A24" s="6">
        <v>17</v>
      </c>
      <c r="B24" s="7" t="s">
        <v>83</v>
      </c>
      <c r="C24" s="7" t="s">
        <v>84</v>
      </c>
      <c r="D24" s="7" t="s">
        <v>85</v>
      </c>
      <c r="E24" s="2" t="str">
        <f t="shared" si="0"/>
        <v>Paspor</v>
      </c>
      <c r="F24" s="2" t="str">
        <f t="shared" si="1"/>
        <v>Booking via Telepon</v>
      </c>
      <c r="G24" s="9" t="str">
        <f t="shared" si="2"/>
        <v>Staycation</v>
      </c>
      <c r="H24" s="24">
        <f t="shared" si="3"/>
        <v>45798</v>
      </c>
      <c r="I24" s="24">
        <f t="shared" si="4"/>
        <v>45801</v>
      </c>
      <c r="J24" s="6">
        <v>4</v>
      </c>
      <c r="K24" s="2" t="str">
        <f t="shared" si="5"/>
        <v>KMR4</v>
      </c>
      <c r="L24" s="2" t="str">
        <f>INDEX(Master_Data!$A$7:$A$11,MATCH(Reservation_Log!K24,Master_Data!$D$7:$D$11,0))</f>
        <v>Suite</v>
      </c>
      <c r="M24" s="28">
        <f>INDEX(Master_Data!$C$7:$C$11,MATCH(Reservation_Log!K24,Master_Data!$D$7:$D$11,0))</f>
        <v>4</v>
      </c>
      <c r="N24" s="25">
        <f>INDEX(Master_Data!$B$7:$B$11,MATCH(Reservation_Log!K24,Master_Data!$D$7:$D$11,0))</f>
        <v>2000000</v>
      </c>
      <c r="O24" s="28" t="str">
        <f t="shared" si="6"/>
        <v>3 hari</v>
      </c>
      <c r="P24" s="26">
        <f t="shared" si="7"/>
        <v>6000000</v>
      </c>
      <c r="Q24" s="11" t="s">
        <v>128</v>
      </c>
      <c r="R24" s="25">
        <f t="shared" si="8"/>
        <v>200000</v>
      </c>
      <c r="S24" s="26">
        <f t="shared" si="9"/>
        <v>6200000</v>
      </c>
      <c r="T24" s="2" t="str">
        <f t="shared" si="10"/>
        <v>TF/Tunai</v>
      </c>
      <c r="U24" s="2" t="str">
        <f t="shared" ca="1" si="11"/>
        <v>sudah check out</v>
      </c>
      <c r="V24" s="14" t="str">
        <f t="shared" ca="1" si="12"/>
        <v>Lunas</v>
      </c>
    </row>
    <row r="25" spans="1:22" ht="15.75" customHeight="1" x14ac:dyDescent="0.25">
      <c r="A25" s="6">
        <v>18</v>
      </c>
      <c r="B25" s="7" t="s">
        <v>86</v>
      </c>
      <c r="C25" s="7" t="s">
        <v>87</v>
      </c>
      <c r="D25" s="7" t="s">
        <v>88</v>
      </c>
      <c r="E25" s="2" t="str">
        <f t="shared" si="0"/>
        <v>Paspor</v>
      </c>
      <c r="F25" s="2" t="str">
        <f t="shared" si="1"/>
        <v>Booking Online</v>
      </c>
      <c r="G25" s="9" t="str">
        <f t="shared" si="2"/>
        <v>Travelers</v>
      </c>
      <c r="H25" s="24">
        <f t="shared" si="3"/>
        <v>45799</v>
      </c>
      <c r="I25" s="24">
        <f t="shared" si="4"/>
        <v>45801</v>
      </c>
      <c r="J25" s="6">
        <v>1</v>
      </c>
      <c r="K25" s="2" t="str">
        <f t="shared" si="5"/>
        <v>KMR3</v>
      </c>
      <c r="L25" s="2" t="str">
        <f>INDEX(Master_Data!$A$7:$A$11,MATCH(Reservation_Log!K25,Master_Data!$D$7:$D$11,0))</f>
        <v>Deluxe Room</v>
      </c>
      <c r="M25" s="28">
        <f>INDEX(Master_Data!$C$7:$C$11,MATCH(Reservation_Log!K25,Master_Data!$D$7:$D$11,0))</f>
        <v>2</v>
      </c>
      <c r="N25" s="25">
        <f>INDEX(Master_Data!$B$7:$B$11,MATCH(Reservation_Log!K25,Master_Data!$D$7:$D$11,0))</f>
        <v>1800000</v>
      </c>
      <c r="O25" s="28" t="str">
        <f t="shared" si="6"/>
        <v>2 hari</v>
      </c>
      <c r="P25" s="26">
        <f t="shared" si="7"/>
        <v>3600000</v>
      </c>
      <c r="Q25" s="11" t="s">
        <v>129</v>
      </c>
      <c r="R25" s="25">
        <f t="shared" si="8"/>
        <v>300000</v>
      </c>
      <c r="S25" s="26">
        <f t="shared" si="9"/>
        <v>3900000</v>
      </c>
      <c r="T25" s="2" t="str">
        <f t="shared" si="10"/>
        <v>TF/VA/Kartu Kredit</v>
      </c>
      <c r="U25" s="2" t="str">
        <f t="shared" ca="1" si="11"/>
        <v>sudah check out</v>
      </c>
      <c r="V25" s="14" t="str">
        <f t="shared" ca="1" si="12"/>
        <v>Lunas</v>
      </c>
    </row>
    <row r="26" spans="1:22" ht="15.75" customHeight="1" x14ac:dyDescent="0.25">
      <c r="A26" s="6">
        <v>19</v>
      </c>
      <c r="B26" s="7" t="s">
        <v>89</v>
      </c>
      <c r="C26" s="7" t="s">
        <v>90</v>
      </c>
      <c r="D26" s="7" t="s">
        <v>91</v>
      </c>
      <c r="E26" s="2" t="str">
        <f t="shared" si="0"/>
        <v>Paspor</v>
      </c>
      <c r="F26" s="2" t="str">
        <f t="shared" si="1"/>
        <v>Walk-in</v>
      </c>
      <c r="G26" s="9" t="str">
        <f t="shared" si="2"/>
        <v>Travelers</v>
      </c>
      <c r="H26" s="24">
        <f t="shared" si="3"/>
        <v>45800</v>
      </c>
      <c r="I26" s="24">
        <f t="shared" si="4"/>
        <v>45802</v>
      </c>
      <c r="J26" s="6">
        <v>2</v>
      </c>
      <c r="K26" s="2" t="str">
        <f t="shared" si="5"/>
        <v>KMR2</v>
      </c>
      <c r="L26" s="2" t="str">
        <f>INDEX(Master_Data!$A$7:$A$11,MATCH(Reservation_Log!K26,Master_Data!$D$7:$D$11,0))</f>
        <v>Superior Room</v>
      </c>
      <c r="M26" s="28">
        <f>INDEX(Master_Data!$C$7:$C$11,MATCH(Reservation_Log!K26,Master_Data!$D$7:$D$11,0))</f>
        <v>2</v>
      </c>
      <c r="N26" s="25">
        <f>INDEX(Master_Data!$B$7:$B$11,MATCH(Reservation_Log!K26,Master_Data!$D$7:$D$11,0))</f>
        <v>1200000</v>
      </c>
      <c r="O26" s="28" t="str">
        <f t="shared" si="6"/>
        <v>2 hari</v>
      </c>
      <c r="P26" s="26">
        <f t="shared" si="7"/>
        <v>2400000</v>
      </c>
      <c r="Q26" s="11" t="s">
        <v>125</v>
      </c>
      <c r="R26" s="25">
        <f t="shared" si="8"/>
        <v>0</v>
      </c>
      <c r="S26" s="26">
        <f t="shared" si="9"/>
        <v>2400000</v>
      </c>
      <c r="T26" s="2" t="str">
        <f t="shared" si="10"/>
        <v>Tunai/Kartu Kredit/Debit</v>
      </c>
      <c r="U26" s="2" t="str">
        <f t="shared" ca="1" si="11"/>
        <v>sudah check out</v>
      </c>
      <c r="V26" s="14" t="str">
        <f t="shared" ca="1" si="12"/>
        <v>Lunas</v>
      </c>
    </row>
    <row r="27" spans="1:22" ht="15.75" customHeight="1" x14ac:dyDescent="0.25">
      <c r="A27" s="6">
        <v>20</v>
      </c>
      <c r="B27" s="7" t="s">
        <v>92</v>
      </c>
      <c r="C27" s="7" t="s">
        <v>93</v>
      </c>
      <c r="D27" s="7" t="s">
        <v>94</v>
      </c>
      <c r="E27" s="2" t="str">
        <f t="shared" si="0"/>
        <v>KTP</v>
      </c>
      <c r="F27" s="2" t="str">
        <f t="shared" si="1"/>
        <v>Booking Online</v>
      </c>
      <c r="G27" s="9" t="str">
        <f t="shared" si="2"/>
        <v>Perjalanan Bisnis</v>
      </c>
      <c r="H27" s="24">
        <f t="shared" si="3"/>
        <v>45802</v>
      </c>
      <c r="I27" s="24">
        <f t="shared" si="4"/>
        <v>45807</v>
      </c>
      <c r="J27" s="6">
        <v>2</v>
      </c>
      <c r="K27" s="2" t="str">
        <f t="shared" si="5"/>
        <v>KMR1</v>
      </c>
      <c r="L27" s="2" t="str">
        <f>INDEX(Master_Data!$A$7:$A$11,MATCH(Reservation_Log!K27,Master_Data!$D$7:$D$11,0))</f>
        <v>Standard Room</v>
      </c>
      <c r="M27" s="28">
        <f>INDEX(Master_Data!$C$7:$C$11,MATCH(Reservation_Log!K27,Master_Data!$D$7:$D$11,0))</f>
        <v>2</v>
      </c>
      <c r="N27" s="25">
        <f>INDEX(Master_Data!$B$7:$B$11,MATCH(Reservation_Log!K27,Master_Data!$D$7:$D$11,0))</f>
        <v>800000</v>
      </c>
      <c r="O27" s="28" t="str">
        <f t="shared" si="6"/>
        <v>5 hari</v>
      </c>
      <c r="P27" s="26">
        <f t="shared" si="7"/>
        <v>4000000</v>
      </c>
      <c r="Q27" s="11" t="s">
        <v>127</v>
      </c>
      <c r="R27" s="25">
        <f t="shared" si="8"/>
        <v>75000</v>
      </c>
      <c r="S27" s="26">
        <f t="shared" si="9"/>
        <v>4075000</v>
      </c>
      <c r="T27" s="2" t="str">
        <f t="shared" si="10"/>
        <v>TF/VA/Kartu Kredit</v>
      </c>
      <c r="U27" s="2" t="str">
        <f t="shared" ca="1" si="11"/>
        <v>sudah check out</v>
      </c>
      <c r="V27" s="14" t="str">
        <f t="shared" ca="1" si="12"/>
        <v>Lunas</v>
      </c>
    </row>
    <row r="28" spans="1:22" ht="15.75" customHeight="1" x14ac:dyDescent="0.25">
      <c r="A28" s="6">
        <v>21</v>
      </c>
      <c r="B28" s="7" t="s">
        <v>95</v>
      </c>
      <c r="C28" s="7" t="s">
        <v>96</v>
      </c>
      <c r="D28" s="7" t="s">
        <v>97</v>
      </c>
      <c r="E28" s="2" t="str">
        <f t="shared" si="0"/>
        <v>KTP</v>
      </c>
      <c r="F28" s="2" t="str">
        <f t="shared" si="1"/>
        <v>Booking Online</v>
      </c>
      <c r="G28" s="9" t="str">
        <f t="shared" si="2"/>
        <v>Travelers</v>
      </c>
      <c r="H28" s="24">
        <f t="shared" si="3"/>
        <v>45803</v>
      </c>
      <c r="I28" s="24">
        <f t="shared" si="4"/>
        <v>45805</v>
      </c>
      <c r="J28" s="6">
        <v>2</v>
      </c>
      <c r="K28" s="2" t="str">
        <f t="shared" si="5"/>
        <v>KMR5</v>
      </c>
      <c r="L28" s="2" t="str">
        <f>INDEX(Master_Data!$A$7:$A$11,MATCH(Reservation_Log!K28,Master_Data!$D$7:$D$11,0))</f>
        <v>Family Room</v>
      </c>
      <c r="M28" s="28">
        <f>INDEX(Master_Data!$C$7:$C$11,MATCH(Reservation_Log!K28,Master_Data!$D$7:$D$11,0))</f>
        <v>3</v>
      </c>
      <c r="N28" s="25">
        <f>INDEX(Master_Data!$B$7:$B$11,MATCH(Reservation_Log!K28,Master_Data!$D$7:$D$11,0))</f>
        <v>500000</v>
      </c>
      <c r="O28" s="28" t="str">
        <f t="shared" si="6"/>
        <v>2 hari</v>
      </c>
      <c r="P28" s="26">
        <f t="shared" si="7"/>
        <v>1000000</v>
      </c>
      <c r="Q28" s="11" t="s">
        <v>125</v>
      </c>
      <c r="R28" s="25">
        <f t="shared" si="8"/>
        <v>0</v>
      </c>
      <c r="S28" s="26">
        <f t="shared" si="9"/>
        <v>1000000</v>
      </c>
      <c r="T28" s="2" t="str">
        <f t="shared" si="10"/>
        <v>TF/VA/Kartu Kredit</v>
      </c>
      <c r="U28" s="2" t="str">
        <f t="shared" ca="1" si="11"/>
        <v>sudah check out</v>
      </c>
      <c r="V28" s="14" t="str">
        <f t="shared" ca="1" si="12"/>
        <v>Lunas</v>
      </c>
    </row>
    <row r="29" spans="1:22" ht="15.75" customHeight="1" x14ac:dyDescent="0.25">
      <c r="A29" s="6">
        <v>22</v>
      </c>
      <c r="B29" s="7" t="s">
        <v>98</v>
      </c>
      <c r="C29" s="7" t="s">
        <v>99</v>
      </c>
      <c r="D29" s="7" t="s">
        <v>100</v>
      </c>
      <c r="E29" s="2" t="str">
        <f t="shared" si="0"/>
        <v>Paspor</v>
      </c>
      <c r="F29" s="2" t="str">
        <f t="shared" si="1"/>
        <v>Booking via Telepon</v>
      </c>
      <c r="G29" s="9" t="str">
        <f t="shared" si="2"/>
        <v>Staycation</v>
      </c>
      <c r="H29" s="24">
        <f t="shared" si="3"/>
        <v>45804</v>
      </c>
      <c r="I29" s="24">
        <f t="shared" si="4"/>
        <v>45807</v>
      </c>
      <c r="J29" s="6">
        <v>1</v>
      </c>
      <c r="K29" s="2" t="str">
        <f t="shared" si="5"/>
        <v>KMR1</v>
      </c>
      <c r="L29" s="2" t="str">
        <f>INDEX(Master_Data!$A$7:$A$11,MATCH(Reservation_Log!K29,Master_Data!$D$7:$D$11,0))</f>
        <v>Standard Room</v>
      </c>
      <c r="M29" s="28">
        <f>INDEX(Master_Data!$C$7:$C$11,MATCH(Reservation_Log!K29,Master_Data!$D$7:$D$11,0))</f>
        <v>2</v>
      </c>
      <c r="N29" s="25">
        <f>INDEX(Master_Data!$B$7:$B$11,MATCH(Reservation_Log!K29,Master_Data!$D$7:$D$11,0))</f>
        <v>800000</v>
      </c>
      <c r="O29" s="28" t="str">
        <f t="shared" si="6"/>
        <v>3 hari</v>
      </c>
      <c r="P29" s="26">
        <f t="shared" si="7"/>
        <v>2400000</v>
      </c>
      <c r="Q29" s="11" t="s">
        <v>125</v>
      </c>
      <c r="R29" s="25">
        <f t="shared" si="8"/>
        <v>0</v>
      </c>
      <c r="S29" s="26">
        <f t="shared" si="9"/>
        <v>2400000</v>
      </c>
      <c r="T29" s="2" t="str">
        <f t="shared" si="10"/>
        <v>TF/Tunai</v>
      </c>
      <c r="U29" s="2" t="str">
        <f t="shared" ca="1" si="11"/>
        <v>sudah check out</v>
      </c>
      <c r="V29" s="14" t="str">
        <f t="shared" ca="1" si="12"/>
        <v>Lunas</v>
      </c>
    </row>
    <row r="30" spans="1:22" ht="15.75" customHeight="1" x14ac:dyDescent="0.25">
      <c r="A30" s="6">
        <v>23</v>
      </c>
      <c r="B30" s="7" t="s">
        <v>101</v>
      </c>
      <c r="C30" s="7" t="s">
        <v>102</v>
      </c>
      <c r="D30" s="7" t="s">
        <v>103</v>
      </c>
      <c r="E30" s="2" t="str">
        <f t="shared" si="0"/>
        <v>Paspor</v>
      </c>
      <c r="F30" s="2" t="str">
        <f t="shared" si="1"/>
        <v>Booking via Telepon</v>
      </c>
      <c r="G30" s="9" t="str">
        <f t="shared" si="2"/>
        <v>Perjalanan Bisnis</v>
      </c>
      <c r="H30" s="24">
        <f t="shared" si="3"/>
        <v>45805</v>
      </c>
      <c r="I30" s="24">
        <f t="shared" si="4"/>
        <v>45810</v>
      </c>
      <c r="J30" s="6">
        <v>2</v>
      </c>
      <c r="K30" s="2" t="str">
        <f t="shared" si="5"/>
        <v>KMR5</v>
      </c>
      <c r="L30" s="2" t="str">
        <f>INDEX(Master_Data!$A$7:$A$11,MATCH(Reservation_Log!K30,Master_Data!$D$7:$D$11,0))</f>
        <v>Family Room</v>
      </c>
      <c r="M30" s="28">
        <f>INDEX(Master_Data!$C$7:$C$11,MATCH(Reservation_Log!K30,Master_Data!$D$7:$D$11,0))</f>
        <v>3</v>
      </c>
      <c r="N30" s="25">
        <f>INDEX(Master_Data!$B$7:$B$11,MATCH(Reservation_Log!K30,Master_Data!$D$7:$D$11,0))</f>
        <v>500000</v>
      </c>
      <c r="O30" s="28" t="str">
        <f t="shared" si="6"/>
        <v>5 hari</v>
      </c>
      <c r="P30" s="26">
        <f t="shared" si="7"/>
        <v>2500000</v>
      </c>
      <c r="Q30" s="11" t="s">
        <v>125</v>
      </c>
      <c r="R30" s="25">
        <f t="shared" si="8"/>
        <v>0</v>
      </c>
      <c r="S30" s="26">
        <f t="shared" si="9"/>
        <v>2500000</v>
      </c>
      <c r="T30" s="2" t="str">
        <f t="shared" si="10"/>
        <v>TF/Tunai</v>
      </c>
      <c r="U30" s="2" t="str">
        <f t="shared" ca="1" si="11"/>
        <v>sudah check out</v>
      </c>
      <c r="V30" s="14" t="str">
        <f t="shared" ca="1" si="12"/>
        <v>Lunas</v>
      </c>
    </row>
    <row r="31" spans="1:22" ht="15.75" customHeight="1" x14ac:dyDescent="0.25">
      <c r="A31" s="6">
        <v>24</v>
      </c>
      <c r="B31" s="7" t="s">
        <v>104</v>
      </c>
      <c r="C31" s="7" t="s">
        <v>105</v>
      </c>
      <c r="D31" s="7" t="s">
        <v>106</v>
      </c>
      <c r="E31" s="2" t="str">
        <f t="shared" si="0"/>
        <v>KTP</v>
      </c>
      <c r="F31" s="2" t="str">
        <f t="shared" si="1"/>
        <v>Booking Online</v>
      </c>
      <c r="G31" s="9" t="str">
        <f t="shared" si="2"/>
        <v>Staycation</v>
      </c>
      <c r="H31" s="24">
        <f t="shared" si="3"/>
        <v>45806</v>
      </c>
      <c r="I31" s="24">
        <f t="shared" si="4"/>
        <v>45809</v>
      </c>
      <c r="J31" s="6">
        <v>1</v>
      </c>
      <c r="K31" s="2" t="str">
        <f t="shared" si="5"/>
        <v>KMR2</v>
      </c>
      <c r="L31" s="2" t="str">
        <f>INDEX(Master_Data!$A$7:$A$11,MATCH(Reservation_Log!K31,Master_Data!$D$7:$D$11,0))</f>
        <v>Superior Room</v>
      </c>
      <c r="M31" s="28">
        <f>INDEX(Master_Data!$C$7:$C$11,MATCH(Reservation_Log!K31,Master_Data!$D$7:$D$11,0))</f>
        <v>2</v>
      </c>
      <c r="N31" s="25">
        <f>INDEX(Master_Data!$B$7:$B$11,MATCH(Reservation_Log!K31,Master_Data!$D$7:$D$11,0))</f>
        <v>1200000</v>
      </c>
      <c r="O31" s="28" t="str">
        <f t="shared" si="6"/>
        <v>3 hari</v>
      </c>
      <c r="P31" s="26">
        <f t="shared" si="7"/>
        <v>3600000</v>
      </c>
      <c r="Q31" s="11" t="s">
        <v>125</v>
      </c>
      <c r="R31" s="25">
        <f t="shared" si="8"/>
        <v>0</v>
      </c>
      <c r="S31" s="26">
        <f t="shared" si="9"/>
        <v>3600000</v>
      </c>
      <c r="T31" s="2" t="str">
        <f t="shared" si="10"/>
        <v>TF/VA/Kartu Kredit</v>
      </c>
      <c r="U31" s="2" t="str">
        <f t="shared" ca="1" si="11"/>
        <v>sudah check out</v>
      </c>
      <c r="V31" s="14" t="str">
        <f t="shared" ca="1" si="12"/>
        <v>Lunas</v>
      </c>
    </row>
    <row r="32" spans="1:22" ht="15.75" customHeight="1" x14ac:dyDescent="0.25">
      <c r="A32" s="6">
        <v>25</v>
      </c>
      <c r="B32" s="7" t="s">
        <v>107</v>
      </c>
      <c r="C32" s="7" t="s">
        <v>108</v>
      </c>
      <c r="D32" s="7" t="s">
        <v>109</v>
      </c>
      <c r="E32" s="2" t="str">
        <f t="shared" si="0"/>
        <v>Paspor</v>
      </c>
      <c r="F32" s="2" t="str">
        <f t="shared" si="1"/>
        <v>Walk-in</v>
      </c>
      <c r="G32" s="9" t="str">
        <f t="shared" si="2"/>
        <v>Staycation</v>
      </c>
      <c r="H32" s="24">
        <f t="shared" si="3"/>
        <v>45807</v>
      </c>
      <c r="I32" s="24">
        <f t="shared" si="4"/>
        <v>45810</v>
      </c>
      <c r="J32" s="6">
        <v>1</v>
      </c>
      <c r="K32" s="2" t="str">
        <f t="shared" si="5"/>
        <v>KMR3</v>
      </c>
      <c r="L32" s="2" t="str">
        <f>INDEX(Master_Data!$A$7:$A$11,MATCH(Reservation_Log!K32,Master_Data!$D$7:$D$11,0))</f>
        <v>Deluxe Room</v>
      </c>
      <c r="M32" s="28">
        <f>INDEX(Master_Data!$C$7:$C$11,MATCH(Reservation_Log!K32,Master_Data!$D$7:$D$11,0))</f>
        <v>2</v>
      </c>
      <c r="N32" s="25">
        <f>INDEX(Master_Data!$B$7:$B$11,MATCH(Reservation_Log!K32,Master_Data!$D$7:$D$11,0))</f>
        <v>1800000</v>
      </c>
      <c r="O32" s="28" t="str">
        <f t="shared" si="6"/>
        <v>3 hari</v>
      </c>
      <c r="P32" s="26">
        <f t="shared" si="7"/>
        <v>5400000</v>
      </c>
      <c r="Q32" s="11" t="s">
        <v>125</v>
      </c>
      <c r="R32" s="25">
        <f t="shared" si="8"/>
        <v>0</v>
      </c>
      <c r="S32" s="26">
        <f t="shared" si="9"/>
        <v>5400000</v>
      </c>
      <c r="T32" s="2" t="str">
        <f t="shared" si="10"/>
        <v>Tunai/Kartu Kredit/Debit</v>
      </c>
      <c r="U32" s="2" t="str">
        <f t="shared" ca="1" si="11"/>
        <v>sudah check out</v>
      </c>
      <c r="V32" s="14" t="str">
        <f t="shared" ca="1" si="12"/>
        <v>Lunas</v>
      </c>
    </row>
    <row r="33" spans="1:22" ht="15.75" customHeight="1" x14ac:dyDescent="0.25">
      <c r="A33" s="6">
        <v>26</v>
      </c>
      <c r="B33" s="7" t="s">
        <v>110</v>
      </c>
      <c r="C33" s="7" t="s">
        <v>111</v>
      </c>
      <c r="D33" s="7" t="s">
        <v>112</v>
      </c>
      <c r="E33" s="2" t="str">
        <f t="shared" si="0"/>
        <v>KTP</v>
      </c>
      <c r="F33" s="2" t="str">
        <f t="shared" si="1"/>
        <v>Booking Online</v>
      </c>
      <c r="G33" s="9" t="str">
        <f t="shared" si="2"/>
        <v>Staycation</v>
      </c>
      <c r="H33" s="24">
        <f t="shared" si="3"/>
        <v>45808</v>
      </c>
      <c r="I33" s="24">
        <f t="shared" si="4"/>
        <v>45811</v>
      </c>
      <c r="J33" s="6">
        <v>2</v>
      </c>
      <c r="K33" s="2" t="str">
        <f t="shared" si="5"/>
        <v>KMR1</v>
      </c>
      <c r="L33" s="2" t="str">
        <f>INDEX(Master_Data!$A$7:$A$11,MATCH(Reservation_Log!K33,Master_Data!$D$7:$D$11,0))</f>
        <v>Standard Room</v>
      </c>
      <c r="M33" s="28">
        <f>INDEX(Master_Data!$C$7:$C$11,MATCH(Reservation_Log!K33,Master_Data!$D$7:$D$11,0))</f>
        <v>2</v>
      </c>
      <c r="N33" s="25">
        <f>INDEX(Master_Data!$B$7:$B$11,MATCH(Reservation_Log!K33,Master_Data!$D$7:$D$11,0))</f>
        <v>800000</v>
      </c>
      <c r="O33" s="28" t="str">
        <f t="shared" si="6"/>
        <v>3 hari</v>
      </c>
      <c r="P33" s="26">
        <f t="shared" si="7"/>
        <v>2400000</v>
      </c>
      <c r="Q33" s="11" t="s">
        <v>125</v>
      </c>
      <c r="R33" s="25">
        <f t="shared" si="8"/>
        <v>0</v>
      </c>
      <c r="S33" s="26">
        <f t="shared" si="9"/>
        <v>2400000</v>
      </c>
      <c r="T33" s="2" t="str">
        <f t="shared" si="10"/>
        <v>TF/VA/Kartu Kredit</v>
      </c>
      <c r="U33" s="2" t="str">
        <f t="shared" ca="1" si="11"/>
        <v>sudah check out</v>
      </c>
      <c r="V33" s="14" t="str">
        <f t="shared" ca="1" si="12"/>
        <v>Lunas</v>
      </c>
    </row>
    <row r="34" spans="1:22" ht="15.75" customHeight="1" x14ac:dyDescent="0.25">
      <c r="A34" s="6">
        <v>27</v>
      </c>
      <c r="B34" s="7" t="s">
        <v>113</v>
      </c>
      <c r="C34" s="7" t="s">
        <v>114</v>
      </c>
      <c r="D34" s="7" t="s">
        <v>115</v>
      </c>
      <c r="E34" s="2" t="str">
        <f t="shared" si="0"/>
        <v>KTP</v>
      </c>
      <c r="F34" s="2" t="str">
        <f t="shared" si="1"/>
        <v>Booking Online</v>
      </c>
      <c r="G34" s="9" t="str">
        <f t="shared" si="2"/>
        <v>Perjalanan Bisnis</v>
      </c>
      <c r="H34" s="24">
        <f t="shared" si="3"/>
        <v>45809</v>
      </c>
      <c r="I34" s="24">
        <f t="shared" si="4"/>
        <v>45814</v>
      </c>
      <c r="J34" s="6">
        <v>4</v>
      </c>
      <c r="K34" s="2" t="str">
        <f t="shared" si="5"/>
        <v>KMR4</v>
      </c>
      <c r="L34" s="2" t="str">
        <f>INDEX(Master_Data!$A$7:$A$11,MATCH(Reservation_Log!K34,Master_Data!$D$7:$D$11,0))</f>
        <v>Suite</v>
      </c>
      <c r="M34" s="28">
        <f>INDEX(Master_Data!$C$7:$C$11,MATCH(Reservation_Log!K34,Master_Data!$D$7:$D$11,0))</f>
        <v>4</v>
      </c>
      <c r="N34" s="25">
        <f>INDEX(Master_Data!$B$7:$B$11,MATCH(Reservation_Log!K34,Master_Data!$D$7:$D$11,0))</f>
        <v>2000000</v>
      </c>
      <c r="O34" s="28" t="str">
        <f t="shared" si="6"/>
        <v>5 hari</v>
      </c>
      <c r="P34" s="26">
        <f t="shared" si="7"/>
        <v>10000000</v>
      </c>
      <c r="Q34" s="11" t="s">
        <v>125</v>
      </c>
      <c r="R34" s="25">
        <f t="shared" si="8"/>
        <v>0</v>
      </c>
      <c r="S34" s="26">
        <f t="shared" si="9"/>
        <v>10000000</v>
      </c>
      <c r="T34" s="2" t="str">
        <f t="shared" si="10"/>
        <v>TF/VA/Kartu Kredit</v>
      </c>
      <c r="U34" s="2" t="str">
        <f t="shared" ca="1" si="11"/>
        <v>sudah check out</v>
      </c>
      <c r="V34" s="14" t="str">
        <f t="shared" ca="1" si="12"/>
        <v>Lunas</v>
      </c>
    </row>
    <row r="35" spans="1:22" ht="15.75" customHeight="1" x14ac:dyDescent="0.25">
      <c r="A35" s="6">
        <v>28</v>
      </c>
      <c r="B35" s="7" t="s">
        <v>116</v>
      </c>
      <c r="C35" s="7" t="s">
        <v>117</v>
      </c>
      <c r="D35" s="7" t="s">
        <v>118</v>
      </c>
      <c r="E35" s="2" t="str">
        <f t="shared" si="0"/>
        <v>Paspor</v>
      </c>
      <c r="F35" s="2" t="str">
        <f t="shared" si="1"/>
        <v>Booking Online</v>
      </c>
      <c r="G35" s="9" t="str">
        <f t="shared" si="2"/>
        <v>Travelers</v>
      </c>
      <c r="H35" s="24">
        <f t="shared" si="3"/>
        <v>45813</v>
      </c>
      <c r="I35" s="24">
        <f t="shared" si="4"/>
        <v>45815</v>
      </c>
      <c r="J35" s="6">
        <v>2</v>
      </c>
      <c r="K35" s="2" t="str">
        <f t="shared" si="5"/>
        <v>KMR5</v>
      </c>
      <c r="L35" s="2" t="str">
        <f>INDEX(Master_Data!$A$7:$A$11,MATCH(Reservation_Log!K35,Master_Data!$D$7:$D$11,0))</f>
        <v>Family Room</v>
      </c>
      <c r="M35" s="28">
        <f>INDEX(Master_Data!$C$7:$C$11,MATCH(Reservation_Log!K35,Master_Data!$D$7:$D$11,0))</f>
        <v>3</v>
      </c>
      <c r="N35" s="25">
        <f>INDEX(Master_Data!$B$7:$B$11,MATCH(Reservation_Log!K35,Master_Data!$D$7:$D$11,0))</f>
        <v>500000</v>
      </c>
      <c r="O35" s="28" t="str">
        <f t="shared" si="6"/>
        <v>2 hari</v>
      </c>
      <c r="P35" s="26">
        <f t="shared" si="7"/>
        <v>1000000</v>
      </c>
      <c r="Q35" s="11" t="s">
        <v>125</v>
      </c>
      <c r="R35" s="25">
        <f t="shared" si="8"/>
        <v>0</v>
      </c>
      <c r="S35" s="26">
        <f t="shared" si="9"/>
        <v>1000000</v>
      </c>
      <c r="T35" s="2" t="str">
        <f t="shared" si="10"/>
        <v>TF/VA/Kartu Kredit</v>
      </c>
      <c r="U35" s="2" t="str">
        <f t="shared" ca="1" si="11"/>
        <v>sudah check out</v>
      </c>
      <c r="V35" s="14" t="str">
        <f t="shared" ca="1" si="12"/>
        <v>Lunas</v>
      </c>
    </row>
    <row r="36" spans="1:22" ht="15.75" customHeight="1" x14ac:dyDescent="0.25">
      <c r="A36" s="6">
        <v>29</v>
      </c>
      <c r="B36" s="7" t="s">
        <v>119</v>
      </c>
      <c r="C36" s="7" t="s">
        <v>120</v>
      </c>
      <c r="D36" s="7" t="s">
        <v>121</v>
      </c>
      <c r="E36" s="2" t="str">
        <f t="shared" si="0"/>
        <v>Paspor</v>
      </c>
      <c r="F36" s="2" t="str">
        <f t="shared" si="1"/>
        <v>Booking via Telepon</v>
      </c>
      <c r="G36" s="9" t="str">
        <f t="shared" si="2"/>
        <v>Perjalanan Bisnis</v>
      </c>
      <c r="H36" s="24">
        <f t="shared" si="3"/>
        <v>45814</v>
      </c>
      <c r="I36" s="24">
        <f t="shared" si="4"/>
        <v>45819</v>
      </c>
      <c r="J36" s="6">
        <v>1</v>
      </c>
      <c r="K36" s="2" t="str">
        <f t="shared" si="5"/>
        <v>KMR1</v>
      </c>
      <c r="L36" s="2" t="str">
        <f>INDEX(Master_Data!$A$7:$A$11,MATCH(Reservation_Log!K36,Master_Data!$D$7:$D$11,0))</f>
        <v>Standard Room</v>
      </c>
      <c r="M36" s="28">
        <f>INDEX(Master_Data!$C$7:$C$11,MATCH(Reservation_Log!K36,Master_Data!$D$7:$D$11,0))</f>
        <v>2</v>
      </c>
      <c r="N36" s="25">
        <f>INDEX(Master_Data!$B$7:$B$11,MATCH(Reservation_Log!K36,Master_Data!$D$7:$D$11,0))</f>
        <v>800000</v>
      </c>
      <c r="O36" s="28" t="str">
        <f t="shared" si="6"/>
        <v>5 hari</v>
      </c>
      <c r="P36" s="26">
        <f t="shared" si="7"/>
        <v>4000000</v>
      </c>
      <c r="Q36" s="11" t="s">
        <v>125</v>
      </c>
      <c r="R36" s="25">
        <f t="shared" si="8"/>
        <v>0</v>
      </c>
      <c r="S36" s="26">
        <f t="shared" si="9"/>
        <v>4000000</v>
      </c>
      <c r="T36" s="2" t="str">
        <f t="shared" si="10"/>
        <v>TF/Tunai</v>
      </c>
      <c r="U36" s="2" t="str">
        <f t="shared" ca="1" si="11"/>
        <v>sudah check out</v>
      </c>
      <c r="V36" s="14" t="str">
        <f t="shared" ca="1" si="12"/>
        <v>Lunas</v>
      </c>
    </row>
    <row r="37" spans="1:22" ht="15.75" customHeight="1" x14ac:dyDescent="0.25">
      <c r="A37" s="6">
        <v>30</v>
      </c>
      <c r="B37" s="7" t="s">
        <v>122</v>
      </c>
      <c r="C37" s="7" t="s">
        <v>123</v>
      </c>
      <c r="D37" s="7" t="s">
        <v>124</v>
      </c>
      <c r="E37" s="2" t="str">
        <f t="shared" si="0"/>
        <v>Paspor</v>
      </c>
      <c r="F37" s="2" t="str">
        <f t="shared" si="1"/>
        <v>Booking via Telepon</v>
      </c>
      <c r="G37" s="9" t="str">
        <f t="shared" si="2"/>
        <v>Perjalanan Bisnis</v>
      </c>
      <c r="H37" s="24">
        <f t="shared" si="3"/>
        <v>45815</v>
      </c>
      <c r="I37" s="24">
        <f t="shared" si="4"/>
        <v>45820</v>
      </c>
      <c r="J37" s="6">
        <v>2</v>
      </c>
      <c r="K37" s="2" t="str">
        <f t="shared" si="5"/>
        <v>KMR3</v>
      </c>
      <c r="L37" s="2" t="str">
        <f>INDEX(Master_Data!$A$7:$A$11,MATCH(Reservation_Log!K37,Master_Data!$D$7:$D$11,0))</f>
        <v>Deluxe Room</v>
      </c>
      <c r="M37" s="28">
        <f>INDEX(Master_Data!$C$7:$C$11,MATCH(Reservation_Log!K37,Master_Data!$D$7:$D$11,0))</f>
        <v>2</v>
      </c>
      <c r="N37" s="25">
        <f>INDEX(Master_Data!$B$7:$B$11,MATCH(Reservation_Log!K37,Master_Data!$D$7:$D$11,0))</f>
        <v>1800000</v>
      </c>
      <c r="O37" s="28" t="str">
        <f t="shared" si="6"/>
        <v>5 hari</v>
      </c>
      <c r="P37" s="26">
        <f t="shared" si="7"/>
        <v>9000000</v>
      </c>
      <c r="Q37" s="11" t="s">
        <v>125</v>
      </c>
      <c r="R37" s="25">
        <f t="shared" si="8"/>
        <v>0</v>
      </c>
      <c r="S37" s="26">
        <f t="shared" si="9"/>
        <v>9000000</v>
      </c>
      <c r="T37" s="2" t="str">
        <f t="shared" si="10"/>
        <v>TF/Tunai</v>
      </c>
      <c r="U37" s="2" t="str">
        <f t="shared" ca="1" si="11"/>
        <v>sudah check out</v>
      </c>
      <c r="V37" s="14" t="str">
        <f t="shared" ca="1" si="12"/>
        <v>Lunas</v>
      </c>
    </row>
    <row r="38" spans="1:22" ht="15.75" customHeight="1" x14ac:dyDescent="0.25"/>
    <row r="39" spans="1:22" ht="15.75" customHeight="1" x14ac:dyDescent="0.25"/>
    <row r="40" spans="1:22" ht="15.75" customHeight="1" x14ac:dyDescent="0.25"/>
    <row r="41" spans="1:22" ht="15.75" customHeight="1" x14ac:dyDescent="0.25"/>
    <row r="42" spans="1:22" ht="15.75" customHeight="1" x14ac:dyDescent="0.25"/>
    <row r="43" spans="1:22" ht="15.75" customHeight="1" x14ac:dyDescent="0.25"/>
    <row r="44" spans="1:22" ht="15.75" customHeight="1" x14ac:dyDescent="0.25"/>
    <row r="45" spans="1:22" ht="15.75" customHeight="1" x14ac:dyDescent="0.25"/>
    <row r="46" spans="1:22" ht="15.75" customHeight="1" x14ac:dyDescent="0.25"/>
    <row r="47" spans="1:22" ht="15.75" customHeight="1" x14ac:dyDescent="0.25"/>
    <row r="48" spans="1:2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5">
    <mergeCell ref="M6:M7"/>
    <mergeCell ref="A1:V1"/>
    <mergeCell ref="A2:V2"/>
    <mergeCell ref="A3:V3"/>
    <mergeCell ref="A6:A7"/>
    <mergeCell ref="B6:B7"/>
    <mergeCell ref="C6:C7"/>
    <mergeCell ref="D6:D7"/>
    <mergeCell ref="E6:E7"/>
    <mergeCell ref="F6:F7"/>
    <mergeCell ref="G6:G7"/>
    <mergeCell ref="H6:H7"/>
    <mergeCell ref="I6:I7"/>
    <mergeCell ref="J6:J7"/>
    <mergeCell ref="K6:K7"/>
    <mergeCell ref="L6:L7"/>
    <mergeCell ref="T6:T7"/>
    <mergeCell ref="U6:U7"/>
    <mergeCell ref="V6:V7"/>
    <mergeCell ref="N6:N7"/>
    <mergeCell ref="O6:O7"/>
    <mergeCell ref="P6:P7"/>
    <mergeCell ref="Q6:Q7"/>
    <mergeCell ref="R6:R7"/>
    <mergeCell ref="S6:S7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Master_Data</vt:lpstr>
      <vt:lpstr>Reservation_Log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Aulia Khairunnisa</dc:creator>
  <cp:lastModifiedBy>Aulia khairunnisa</cp:lastModifiedBy>
  <dcterms:created xsi:type="dcterms:W3CDTF">2026-09-09T23:56:17Z</dcterms:created>
  <dcterms:modified xsi:type="dcterms:W3CDTF">2026-09-12T02:41:27Z</dcterms:modified>
</cp:coreProperties>
</file>
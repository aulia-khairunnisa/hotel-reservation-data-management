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hidePivotFieldList="1"/>
  <mc:AlternateContent xmlns:mc="http://schemas.openxmlformats.org/markup-compatibility/2006">
    <mc:Choice Requires="x15">
      <x15ac:absPath xmlns:x15ac="http://schemas.microsoft.com/office/spreadsheetml/2010/11/ac" url="https://d.docs.live.net/41139345319bbd04/Desktop/excelab/"/>
    </mc:Choice>
  </mc:AlternateContent>
  <xr:revisionPtr revIDLastSave="1" documentId="13_ncr:1_{2B18F074-DE38-4E3F-A1CD-D072B6783EE9}" xr6:coauthVersionLast="45" xr6:coauthVersionMax="45" xr10:uidLastSave="{E74AE986-6570-4FC4-BC00-2EBAEE95F082}"/>
  <bookViews>
    <workbookView xWindow="-120" yWindow="-120" windowWidth="20730" windowHeight="11760" activeTab="2" xr2:uid="{00000000-000D-0000-FFFF-FFFF00000000}"/>
  </bookViews>
  <sheets>
    <sheet name="Master_Data" sheetId="1" r:id="rId1"/>
    <sheet name="Reservation_Log" sheetId="2" r:id="rId2"/>
    <sheet name="Dashboard" sheetId="3" r:id="rId3"/>
  </sheets>
  <definedNames>
    <definedName name="Slicer_TANGGAL_CHECK_IN">#N/A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R8" i="2" l="1"/>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7" i="2"/>
  <c r="K8" i="2"/>
  <c r="K9" i="2"/>
  <c r="L9" i="2" s="1"/>
  <c r="K10" i="2"/>
  <c r="K11" i="2"/>
  <c r="L11" i="2" s="1"/>
  <c r="K12" i="2"/>
  <c r="K13" i="2"/>
  <c r="L13" i="2" s="1"/>
  <c r="K14" i="2"/>
  <c r="K15" i="2"/>
  <c r="L15" i="2" s="1"/>
  <c r="K16" i="2"/>
  <c r="K17" i="2"/>
  <c r="L17" i="2" s="1"/>
  <c r="K18" i="2"/>
  <c r="K19" i="2"/>
  <c r="L19" i="2" s="1"/>
  <c r="K20" i="2"/>
  <c r="K21" i="2"/>
  <c r="L21" i="2" s="1"/>
  <c r="K22" i="2"/>
  <c r="K23" i="2"/>
  <c r="L23" i="2" s="1"/>
  <c r="K24" i="2"/>
  <c r="K25" i="2"/>
  <c r="L25" i="2" s="1"/>
  <c r="K26" i="2"/>
  <c r="K27" i="2"/>
  <c r="N27" i="2" s="1"/>
  <c r="K28" i="2"/>
  <c r="K29" i="2"/>
  <c r="M29" i="2" s="1"/>
  <c r="K30" i="2"/>
  <c r="K31" i="2"/>
  <c r="N31" i="2" s="1"/>
  <c r="K32" i="2"/>
  <c r="K33" i="2"/>
  <c r="M33" i="2" s="1"/>
  <c r="K34" i="2"/>
  <c r="K35" i="2"/>
  <c r="N35" i="2" s="1"/>
  <c r="K36" i="2"/>
  <c r="K7" i="2"/>
  <c r="L7" i="2" s="1"/>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7" i="2"/>
  <c r="N36" i="2" l="1"/>
  <c r="M36" i="2"/>
  <c r="N34" i="2"/>
  <c r="M34" i="2"/>
  <c r="N32" i="2"/>
  <c r="M32" i="2"/>
  <c r="N30" i="2"/>
  <c r="M30" i="2"/>
  <c r="N28" i="2"/>
  <c r="M28" i="2"/>
  <c r="N26" i="2"/>
  <c r="M26" i="2"/>
  <c r="N24" i="2"/>
  <c r="M24" i="2"/>
  <c r="N22" i="2"/>
  <c r="M22" i="2"/>
  <c r="N20" i="2"/>
  <c r="M20" i="2"/>
  <c r="N18" i="2"/>
  <c r="M18" i="2"/>
  <c r="N16" i="2"/>
  <c r="M16" i="2"/>
  <c r="N14" i="2"/>
  <c r="M14" i="2"/>
  <c r="N12" i="2"/>
  <c r="M12" i="2"/>
  <c r="N10" i="2"/>
  <c r="M10" i="2"/>
  <c r="N8" i="2"/>
  <c r="M8" i="2"/>
  <c r="L35" i="2"/>
  <c r="L33" i="2"/>
  <c r="L31" i="2"/>
  <c r="L29" i="2"/>
  <c r="L27" i="2"/>
  <c r="L24" i="2"/>
  <c r="L20" i="2"/>
  <c r="L16" i="2"/>
  <c r="L12" i="2"/>
  <c r="L8" i="2"/>
  <c r="M35" i="2"/>
  <c r="M31" i="2"/>
  <c r="M27" i="2"/>
  <c r="M23" i="2"/>
  <c r="M19" i="2"/>
  <c r="M15" i="2"/>
  <c r="M11" i="2"/>
  <c r="N7" i="2"/>
  <c r="N33" i="2"/>
  <c r="N29" i="2"/>
  <c r="N25" i="2"/>
  <c r="N21" i="2"/>
  <c r="N17" i="2"/>
  <c r="N13" i="2"/>
  <c r="N9" i="2"/>
  <c r="L36" i="2"/>
  <c r="L34" i="2"/>
  <c r="L32" i="2"/>
  <c r="L30" i="2"/>
  <c r="L28" i="2"/>
  <c r="L26" i="2"/>
  <c r="L22" i="2"/>
  <c r="L18" i="2"/>
  <c r="L14" i="2"/>
  <c r="L10" i="2"/>
  <c r="M7" i="2"/>
  <c r="M25" i="2"/>
  <c r="M21" i="2"/>
  <c r="M17" i="2"/>
  <c r="M13" i="2"/>
  <c r="M9" i="2"/>
  <c r="N23" i="2"/>
  <c r="N19" i="2"/>
  <c r="N15" i="2"/>
  <c r="N11" i="2"/>
  <c r="G8" i="2"/>
  <c r="I8" i="2" s="1"/>
  <c r="G9" i="2"/>
  <c r="I9" i="2" s="1"/>
  <c r="G10" i="2"/>
  <c r="I10" i="2" s="1"/>
  <c r="G11" i="2"/>
  <c r="I11" i="2" s="1"/>
  <c r="G12" i="2"/>
  <c r="I12" i="2" s="1"/>
  <c r="G13" i="2"/>
  <c r="I13" i="2" s="1"/>
  <c r="G14" i="2"/>
  <c r="I14" i="2" s="1"/>
  <c r="G15" i="2"/>
  <c r="I15" i="2" s="1"/>
  <c r="G16" i="2"/>
  <c r="I16" i="2" s="1"/>
  <c r="G17" i="2"/>
  <c r="I17" i="2" s="1"/>
  <c r="G18" i="2"/>
  <c r="I18" i="2" s="1"/>
  <c r="G19" i="2"/>
  <c r="I19" i="2" s="1"/>
  <c r="G20" i="2"/>
  <c r="I20" i="2" s="1"/>
  <c r="G21" i="2"/>
  <c r="I21" i="2" s="1"/>
  <c r="G22" i="2"/>
  <c r="I22" i="2" s="1"/>
  <c r="G23" i="2"/>
  <c r="I23" i="2" s="1"/>
  <c r="G24" i="2"/>
  <c r="I24" i="2" s="1"/>
  <c r="G25" i="2"/>
  <c r="I25" i="2" s="1"/>
  <c r="G26" i="2"/>
  <c r="I26" i="2" s="1"/>
  <c r="G27" i="2"/>
  <c r="I27" i="2" s="1"/>
  <c r="G28" i="2"/>
  <c r="I28" i="2" s="1"/>
  <c r="G29" i="2"/>
  <c r="I29" i="2" s="1"/>
  <c r="G30" i="2"/>
  <c r="I30" i="2" s="1"/>
  <c r="G31" i="2"/>
  <c r="I31" i="2" s="1"/>
  <c r="G32" i="2"/>
  <c r="I32" i="2" s="1"/>
  <c r="G33" i="2"/>
  <c r="I33" i="2" s="1"/>
  <c r="G34" i="2"/>
  <c r="I34" i="2" s="1"/>
  <c r="G35" i="2"/>
  <c r="I35" i="2" s="1"/>
  <c r="G36" i="2"/>
  <c r="I36" i="2" s="1"/>
  <c r="G7" i="2"/>
  <c r="I7" i="2" s="1"/>
  <c r="F8" i="2"/>
  <c r="T8" i="2" s="1"/>
  <c r="F9" i="2"/>
  <c r="T9" i="2" s="1"/>
  <c r="F10" i="2"/>
  <c r="T10" i="2" s="1"/>
  <c r="F11" i="2"/>
  <c r="T11" i="2" s="1"/>
  <c r="F12" i="2"/>
  <c r="T12" i="2" s="1"/>
  <c r="F13" i="2"/>
  <c r="T13" i="2" s="1"/>
  <c r="F14" i="2"/>
  <c r="T14" i="2" s="1"/>
  <c r="F15" i="2"/>
  <c r="T15" i="2" s="1"/>
  <c r="F16" i="2"/>
  <c r="T16" i="2" s="1"/>
  <c r="F17" i="2"/>
  <c r="T17" i="2" s="1"/>
  <c r="F18" i="2"/>
  <c r="T18" i="2" s="1"/>
  <c r="F19" i="2"/>
  <c r="T19" i="2" s="1"/>
  <c r="F20" i="2"/>
  <c r="T20" i="2" s="1"/>
  <c r="F21" i="2"/>
  <c r="T21" i="2" s="1"/>
  <c r="F22" i="2"/>
  <c r="T22" i="2" s="1"/>
  <c r="F23" i="2"/>
  <c r="T23" i="2" s="1"/>
  <c r="F24" i="2"/>
  <c r="T24" i="2" s="1"/>
  <c r="F25" i="2"/>
  <c r="T25" i="2" s="1"/>
  <c r="F26" i="2"/>
  <c r="T26" i="2" s="1"/>
  <c r="F27" i="2"/>
  <c r="T27" i="2" s="1"/>
  <c r="F28" i="2"/>
  <c r="T28" i="2" s="1"/>
  <c r="F29" i="2"/>
  <c r="T29" i="2" s="1"/>
  <c r="F30" i="2"/>
  <c r="T30" i="2" s="1"/>
  <c r="F31" i="2"/>
  <c r="T31" i="2" s="1"/>
  <c r="F32" i="2"/>
  <c r="T32" i="2" s="1"/>
  <c r="F33" i="2"/>
  <c r="T33" i="2" s="1"/>
  <c r="F34" i="2"/>
  <c r="T34" i="2" s="1"/>
  <c r="F35" i="2"/>
  <c r="T35" i="2" s="1"/>
  <c r="F36" i="2"/>
  <c r="T36" i="2" s="1"/>
  <c r="F7" i="2"/>
  <c r="T7" i="2" s="1"/>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7" i="2"/>
  <c r="U7" i="2" l="1"/>
  <c r="V7" i="2" s="1"/>
  <c r="O7" i="2"/>
  <c r="U35" i="2"/>
  <c r="V35" i="2" s="1"/>
  <c r="O35" i="2"/>
  <c r="P35" i="2" s="1"/>
  <c r="S35" i="2" s="1"/>
  <c r="U33" i="2"/>
  <c r="V33" i="2" s="1"/>
  <c r="O33" i="2"/>
  <c r="U31" i="2"/>
  <c r="V31" i="2" s="1"/>
  <c r="O31" i="2"/>
  <c r="P31" i="2" s="1"/>
  <c r="S31" i="2" s="1"/>
  <c r="U29" i="2"/>
  <c r="V29" i="2" s="1"/>
  <c r="O29" i="2"/>
  <c r="U27" i="2"/>
  <c r="V27" i="2" s="1"/>
  <c r="O27" i="2"/>
  <c r="P27" i="2" s="1"/>
  <c r="S27" i="2" s="1"/>
  <c r="U25" i="2"/>
  <c r="V25" i="2" s="1"/>
  <c r="O25" i="2"/>
  <c r="P25" i="2" s="1"/>
  <c r="S25" i="2" s="1"/>
  <c r="U23" i="2"/>
  <c r="V23" i="2" s="1"/>
  <c r="O23" i="2"/>
  <c r="P23" i="2" s="1"/>
  <c r="S23" i="2" s="1"/>
  <c r="U21" i="2"/>
  <c r="V21" i="2" s="1"/>
  <c r="O21" i="2"/>
  <c r="P21" i="2" s="1"/>
  <c r="S21" i="2" s="1"/>
  <c r="U19" i="2"/>
  <c r="V19" i="2" s="1"/>
  <c r="O19" i="2"/>
  <c r="U17" i="2"/>
  <c r="V17" i="2" s="1"/>
  <c r="O17" i="2"/>
  <c r="U15" i="2"/>
  <c r="V15" i="2" s="1"/>
  <c r="O15" i="2"/>
  <c r="U13" i="2"/>
  <c r="V13" i="2" s="1"/>
  <c r="O13" i="2"/>
  <c r="U11" i="2"/>
  <c r="V11" i="2" s="1"/>
  <c r="O11" i="2"/>
  <c r="P11" i="2" s="1"/>
  <c r="S11" i="2" s="1"/>
  <c r="U9" i="2"/>
  <c r="V9" i="2" s="1"/>
  <c r="O9" i="2"/>
  <c r="P9" i="2" s="1"/>
  <c r="S9" i="2" s="1"/>
  <c r="P19" i="2"/>
  <c r="S19" i="2" s="1"/>
  <c r="P17" i="2"/>
  <c r="S17" i="2" s="1"/>
  <c r="P33" i="2"/>
  <c r="S33" i="2" s="1"/>
  <c r="P10" i="2"/>
  <c r="S10" i="2" s="1"/>
  <c r="P14" i="2"/>
  <c r="S14" i="2" s="1"/>
  <c r="P18" i="2"/>
  <c r="S18" i="2" s="1"/>
  <c r="P22" i="2"/>
  <c r="S22" i="2" s="1"/>
  <c r="P26" i="2"/>
  <c r="S26" i="2" s="1"/>
  <c r="P30" i="2"/>
  <c r="S30" i="2" s="1"/>
  <c r="P34" i="2"/>
  <c r="S34" i="2" s="1"/>
  <c r="U36" i="2"/>
  <c r="V36" i="2" s="1"/>
  <c r="O36" i="2"/>
  <c r="P36" i="2" s="1"/>
  <c r="S36" i="2" s="1"/>
  <c r="U34" i="2"/>
  <c r="V34" i="2" s="1"/>
  <c r="O34" i="2"/>
  <c r="U32" i="2"/>
  <c r="V32" i="2" s="1"/>
  <c r="O32" i="2"/>
  <c r="P32" i="2" s="1"/>
  <c r="S32" i="2" s="1"/>
  <c r="U30" i="2"/>
  <c r="V30" i="2" s="1"/>
  <c r="O30" i="2"/>
  <c r="U28" i="2"/>
  <c r="V28" i="2" s="1"/>
  <c r="O28" i="2"/>
  <c r="P28" i="2" s="1"/>
  <c r="S28" i="2" s="1"/>
  <c r="U26" i="2"/>
  <c r="V26" i="2" s="1"/>
  <c r="O26" i="2"/>
  <c r="U24" i="2"/>
  <c r="V24" i="2" s="1"/>
  <c r="O24" i="2"/>
  <c r="P24" i="2" s="1"/>
  <c r="S24" i="2" s="1"/>
  <c r="U22" i="2"/>
  <c r="V22" i="2" s="1"/>
  <c r="O22" i="2"/>
  <c r="U20" i="2"/>
  <c r="V20" i="2" s="1"/>
  <c r="O20" i="2"/>
  <c r="P20" i="2" s="1"/>
  <c r="S20" i="2" s="1"/>
  <c r="U18" i="2"/>
  <c r="V18" i="2" s="1"/>
  <c r="O18" i="2"/>
  <c r="U16" i="2"/>
  <c r="V16" i="2" s="1"/>
  <c r="O16" i="2"/>
  <c r="P16" i="2" s="1"/>
  <c r="S16" i="2" s="1"/>
  <c r="U14" i="2"/>
  <c r="V14" i="2" s="1"/>
  <c r="O14" i="2"/>
  <c r="U12" i="2"/>
  <c r="V12" i="2" s="1"/>
  <c r="O12" i="2"/>
  <c r="P12" i="2" s="1"/>
  <c r="S12" i="2" s="1"/>
  <c r="U10" i="2"/>
  <c r="V10" i="2" s="1"/>
  <c r="O10" i="2"/>
  <c r="U8" i="2"/>
  <c r="V8" i="2" s="1"/>
  <c r="O8" i="2"/>
  <c r="P8" i="2" s="1"/>
  <c r="S8" i="2" s="1"/>
  <c r="P15" i="2"/>
  <c r="S15" i="2" s="1"/>
  <c r="P13" i="2"/>
  <c r="S13" i="2" s="1"/>
  <c r="P29" i="2"/>
  <c r="S29" i="2" s="1"/>
  <c r="P7" i="2"/>
  <c r="S7" i="2" s="1"/>
</calcChain>
</file>

<file path=xl/sharedStrings.xml><?xml version="1.0" encoding="utf-8"?>
<sst xmlns="http://schemas.openxmlformats.org/spreadsheetml/2006/main" count="177" uniqueCount="138">
  <si>
    <t>HOTEL PAVILION RUYI</t>
  </si>
  <si>
    <t>Jl. Peach Blossom Alley, No. 35</t>
  </si>
  <si>
    <t>Xinyi, Prov. Daebak-gil Selatan, 8943</t>
  </si>
  <si>
    <t>TIPE KAMAR</t>
  </si>
  <si>
    <t>HARGA PER MALAM</t>
  </si>
  <si>
    <t>KAPASITAS KAMAR</t>
  </si>
  <si>
    <t>KODE KAMAR</t>
  </si>
  <si>
    <t>Standard Room</t>
  </si>
  <si>
    <t>KMR1</t>
  </si>
  <si>
    <t>Superior Room</t>
  </si>
  <si>
    <t>KMR2</t>
  </si>
  <si>
    <t>Deluxe Room</t>
  </si>
  <si>
    <t>KMR3</t>
  </si>
  <si>
    <t>Suite</t>
  </si>
  <si>
    <t>KMR4</t>
  </si>
  <si>
    <t>Family Room</t>
  </si>
  <si>
    <t>KMR5</t>
  </si>
  <si>
    <t>NO</t>
  </si>
  <si>
    <t>KODE RESERVASI</t>
  </si>
  <si>
    <t>NAMA TAMU</t>
  </si>
  <si>
    <t>KONTAK TAMU</t>
  </si>
  <si>
    <t>JENIS IDENTITAS</t>
  </si>
  <si>
    <t>JENIS PEMESANAN</t>
  </si>
  <si>
    <t>TUJUAN TAMU</t>
  </si>
  <si>
    <t>TANGGAL CHECK-IN</t>
  </si>
  <si>
    <t>TANGGAL CHECK-OUT</t>
  </si>
  <si>
    <t>JUMLAH ORANG</t>
  </si>
  <si>
    <t>LAMA INAP</t>
  </si>
  <si>
    <t>TOTAL BIAYA (AWAL)</t>
  </si>
  <si>
    <t>JENIS LAYANAN EXTRA</t>
  </si>
  <si>
    <t>BIAYA TAMBAHAN</t>
  </si>
  <si>
    <t>TOTAL TAGIHAN</t>
  </si>
  <si>
    <t>METODE PEMBAYARAN</t>
  </si>
  <si>
    <t>STATUS PEMBAYARAN</t>
  </si>
  <si>
    <t>STATUS KEDATANGAN</t>
  </si>
  <si>
    <t>K-BO-01/05/25-S-KMR1</t>
  </si>
  <si>
    <t>LOKA WIRANTA</t>
  </si>
  <si>
    <t>loka.wiranta@maildummy.com</t>
  </si>
  <si>
    <t>K-WI-01/05/25-S-KMR5</t>
  </si>
  <si>
    <t>HANA LIN</t>
  </si>
  <si>
    <t>+62 813-2345-6789</t>
  </si>
  <si>
    <t>P-BT-01/05/25-B-KMR2</t>
  </si>
  <si>
    <t>SANITA VELORA</t>
  </si>
  <si>
    <t>+62 811-9876-5432</t>
  </si>
  <si>
    <t>K-BT-02/05/25-T-KMR4</t>
  </si>
  <si>
    <t>VANYA RUSELINA</t>
  </si>
  <si>
    <t>+62 814-8765-4321</t>
  </si>
  <si>
    <t>P-WI-03/05/25-S-KMR3</t>
  </si>
  <si>
    <t>REZA TARMOKO</t>
  </si>
  <si>
    <t>+62 816-6543-2109</t>
  </si>
  <si>
    <t>K-BO-05/05/25-B-KMR2</t>
  </si>
  <si>
    <t>DARGO MAWESTA</t>
  </si>
  <si>
    <t>dargo.mawesta@dummy.com</t>
  </si>
  <si>
    <t>K-WI-05/05/25-T-KMR2</t>
  </si>
  <si>
    <t>TISYA AVENDRA</t>
  </si>
  <si>
    <t>+62 817-7654-3210</t>
  </si>
  <si>
    <t>K-BT-07/05/25-T-KMR2</t>
  </si>
  <si>
    <t>KARYO LIMANTARA</t>
  </si>
  <si>
    <t>+62 818-6543-2109</t>
  </si>
  <si>
    <t>P-BO-10/05/25-B-KMR4</t>
  </si>
  <si>
    <t>JEFRO MALANTARA</t>
  </si>
  <si>
    <t>jefro.malantara@dummy.org</t>
  </si>
  <si>
    <t>P-BO-13/05/25-S-KMR1</t>
  </si>
  <si>
    <t>BINAR KENDARTA</t>
  </si>
  <si>
    <t>binar.kendarta@maildummy.net</t>
  </si>
  <si>
    <t>P-WI-15/05/25-S-KMR5</t>
  </si>
  <si>
    <t>CHIKA YURESTA</t>
  </si>
  <si>
    <t>+62 813-2109-8765</t>
  </si>
  <si>
    <t>K-WI-15/05/25-T-KMR5</t>
  </si>
  <si>
    <t>MEI ZHANG</t>
  </si>
  <si>
    <t>+62 813-1098-7654</t>
  </si>
  <si>
    <t>P-BT-17/05/25-B-KMR4</t>
  </si>
  <si>
    <t>LIU SHISHI</t>
  </si>
  <si>
    <t>+62 810-4321-0987</t>
  </si>
  <si>
    <t>P-BO-18/05/25-B-KMR3</t>
  </si>
  <si>
    <t>ZHANG ROUNAN</t>
  </si>
  <si>
    <t>zhang.rounan@fakedomain.org</t>
  </si>
  <si>
    <t>P-WI-19/05/25-B-KMR2</t>
  </si>
  <si>
    <t>SONG ZUER</t>
  </si>
  <si>
    <t>+62 810-3210-9876</t>
  </si>
  <si>
    <t>K-BO-20/05/25-S-KMR5</t>
  </si>
  <si>
    <t>VARO GHANTIRA</t>
  </si>
  <si>
    <t>varo.ghantira@maildummy.org</t>
  </si>
  <si>
    <t>P-BT-21/05/25-S-KMR4</t>
  </si>
  <si>
    <t>ZHANG YUNLONG</t>
  </si>
  <si>
    <t>+62 814-0987-6543</t>
  </si>
  <si>
    <t>P-BO-22/05/25-T-KMR3</t>
  </si>
  <si>
    <t>BAI JINTING</t>
  </si>
  <si>
    <t>bai.jinting@dummyemail.net</t>
  </si>
  <si>
    <t>P-WI-23/05/25-T-KMR2</t>
  </si>
  <si>
    <t>LIU YUNING</t>
  </si>
  <si>
    <t>+62 812-0739-8392</t>
  </si>
  <si>
    <t>K-BO-25/05/25-B-KMR1</t>
  </si>
  <si>
    <t>SELVI MAHARENTIYA</t>
  </si>
  <si>
    <t>selvi.mah@fakedomain.org</t>
  </si>
  <si>
    <t>K-BO-26/05/25-T-KMR5</t>
  </si>
  <si>
    <t>ETHAN CHALLISTER</t>
  </si>
  <si>
    <t>ethan.chal@maildummy.com</t>
  </si>
  <si>
    <t>P-BT-27/05/25-S-KMR1</t>
  </si>
  <si>
    <t>DENO ABHYAKA</t>
  </si>
  <si>
    <t>+62 812-3456-7890</t>
  </si>
  <si>
    <t>P-BT-28/05/25-B-KMR5</t>
  </si>
  <si>
    <t>LINDA SERWASTI</t>
  </si>
  <si>
    <t>+62 817-5432-1098</t>
  </si>
  <si>
    <t>K-BO-29/05/25-S-KMR2</t>
  </si>
  <si>
    <t>CALVIN TRASMOKO</t>
  </si>
  <si>
    <t>calvin.trasmoko@dummy.com</t>
  </si>
  <si>
    <t>P-WI-30/05/25-S-KMR3</t>
  </si>
  <si>
    <t>YAVITA ORLENZA</t>
  </si>
  <si>
    <t>+62 815-8765-4321</t>
  </si>
  <si>
    <t>K-BO-31/05/25-S-KMR1</t>
  </si>
  <si>
    <t>GALAN MERDANA</t>
  </si>
  <si>
    <t>galan.merdana@fakemail.com</t>
  </si>
  <si>
    <t>K-BO-01/06/25-B-KMR4</t>
  </si>
  <si>
    <t>SYIFA ANTAVERA</t>
  </si>
  <si>
    <t>syifa.antavera@dummyemail.org</t>
  </si>
  <si>
    <t>P-BO-05/06/25-T-KMR5</t>
  </si>
  <si>
    <t>NIRA ZALINDRA</t>
  </si>
  <si>
    <t>nira.zalindra@mailfakes.net</t>
  </si>
  <si>
    <t>P-BT-06/06/25-B-KMR1</t>
  </si>
  <si>
    <t>LIAM HARGROVE</t>
  </si>
  <si>
    <t>+62 815-9876-5432</t>
  </si>
  <si>
    <t>P-BT-07/06/25-B-KMR3</t>
  </si>
  <si>
    <t>YICHEN LUO</t>
  </si>
  <si>
    <t>+62 812-2134-5555</t>
  </si>
  <si>
    <t>-</t>
  </si>
  <si>
    <t>Box Bayi</t>
  </si>
  <si>
    <t>Sarapan</t>
  </si>
  <si>
    <t>Layanan Antar-Jemput</t>
  </si>
  <si>
    <t>Paket Spa &amp; Pijat</t>
  </si>
  <si>
    <t>Laundry</t>
  </si>
  <si>
    <t>Perjalanan Bisnis</t>
  </si>
  <si>
    <t>Staycation</t>
  </si>
  <si>
    <t>Travelers</t>
  </si>
  <si>
    <t>Grand Total</t>
  </si>
  <si>
    <t>Count of TUJUAN TAMU</t>
  </si>
  <si>
    <t>Sum of TOTAL TAGIHAN</t>
  </si>
  <si>
    <t>Hotel Revenue &amp; Guest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</si>
</sst>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_-&quot;Rp&quot;* #,##0_-;\-&quot;Rp&quot;* #,##0_-;_-&quot;Rp&quot;* &quot;-&quot;_-;_-@"/>
    <numFmt numFmtId="168" formatCode="#.##0,,&quot; jt&quot;"/>
  </numFmts>
  <fonts count="13" x14ac:knownFonts="1">
    <font>
      <sz val="11"/>
      <color theme="1"/>
      <name val="Calibri"/>
      <scheme val="minor"/>
    </font>
    <font>
      <b/>
      <sz val="18"/>
      <color theme="1"/>
      <name val="Calibri"/>
      <family val="2"/>
    </font>
    <font>
      <i/>
      <sz val="12"/>
      <color theme="1"/>
      <name val="Calibri"/>
      <family val="2"/>
    </font>
    <font>
      <b/>
      <sz val="11"/>
      <color theme="1"/>
      <name val="Calibri"/>
      <family val="2"/>
    </font>
    <font>
      <sz val="11"/>
      <color theme="1"/>
      <name val="Calibri"/>
      <family val="2"/>
    </font>
    <font>
      <sz val="11"/>
      <color theme="1"/>
      <name val="Calibri"/>
      <family val="2"/>
      <scheme val="minor"/>
    </font>
    <font>
      <b/>
      <sz val="11"/>
      <color theme="0"/>
      <name val="Calibri"/>
      <family val="2"/>
    </font>
    <font>
      <i/>
      <sz val="11"/>
      <color theme="1"/>
      <name val="Calibri"/>
      <family val="2"/>
      <scheme val="minor"/>
    </font>
    <font>
      <sz val="11"/>
      <color theme="1"/>
      <name val="Calibri"/>
      <family val="2"/>
    </font>
    <font>
      <b/>
      <sz val="18"/>
      <color theme="1"/>
      <name val="Calibri"/>
      <family val="2"/>
    </font>
    <font>
      <sz val="18"/>
      <color theme="1"/>
      <name val="Calibri"/>
      <family val="2"/>
      <scheme val="minor"/>
    </font>
    <font>
      <b/>
      <sz val="11"/>
      <color theme="0"/>
      <name val="Calibri"/>
      <family val="2"/>
    </font>
    <font>
      <sz val="20"/>
      <color theme="1"/>
      <name val="Calibri"/>
      <family val="2"/>
      <scheme val="minor"/>
    </font>
  </fonts>
  <fills count="6">
    <fill>
      <patternFill patternType="none"/>
    </fill>
    <fill>
      <patternFill patternType="gray125"/>
    </fill>
    <fill>
      <patternFill patternType="solid">
        <fgColor theme="1"/>
        <bgColor theme="1"/>
      </patternFill>
    </fill>
    <fill>
      <patternFill patternType="solid">
        <fgColor rgb="FFF2F2F2"/>
        <bgColor rgb="FFF2F2F2"/>
      </patternFill>
    </fill>
    <fill>
      <patternFill patternType="solid">
        <fgColor theme="0" tint="-4.9989318521683403E-2"/>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style="thin">
        <color indexed="64"/>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2">
    <xf numFmtId="0" fontId="0" fillId="0" borderId="0"/>
    <xf numFmtId="42" fontId="5" fillId="0" borderId="0" applyFont="0" applyFill="0" applyBorder="0" applyAlignment="0" applyProtection="0"/>
  </cellStyleXfs>
  <cellXfs count="61">
    <xf numFmtId="0" fontId="0" fillId="0" borderId="0" xfId="0" applyFont="1" applyAlignment="1"/>
    <xf numFmtId="0" fontId="2" fillId="0" borderId="0" xfId="0" applyFont="1" applyAlignment="1">
      <alignment horizontal="center"/>
    </xf>
    <xf numFmtId="0" fontId="4" fillId="0" borderId="1" xfId="0" applyFont="1" applyBorder="1"/>
    <xf numFmtId="0" fontId="4" fillId="0" borderId="0" xfId="0" applyFont="1"/>
    <xf numFmtId="0" fontId="5" fillId="0" borderId="0" xfId="0" applyFont="1"/>
    <xf numFmtId="0" fontId="5" fillId="0" borderId="0" xfId="0" applyFont="1" applyAlignment="1"/>
    <xf numFmtId="0" fontId="4" fillId="3" borderId="1" xfId="0" applyFont="1" applyFill="1" applyBorder="1" applyAlignment="1">
      <alignment horizontal="center"/>
    </xf>
    <xf numFmtId="0" fontId="4" fillId="3" borderId="1" xfId="0" applyFont="1" applyFill="1" applyBorder="1"/>
    <xf numFmtId="0" fontId="4" fillId="3" borderId="1" xfId="0" applyFont="1" applyFill="1" applyBorder="1" applyAlignment="1">
      <alignment vertical="center" wrapText="1"/>
    </xf>
    <xf numFmtId="0" fontId="4" fillId="0" borderId="1" xfId="0" applyFont="1" applyFill="1" applyBorder="1"/>
    <xf numFmtId="0" fontId="0" fillId="0" borderId="0" xfId="0" applyFont="1" applyFill="1" applyAlignment="1"/>
    <xf numFmtId="0" fontId="4" fillId="4" borderId="1" xfId="0" applyFont="1" applyFill="1" applyBorder="1"/>
    <xf numFmtId="0" fontId="7" fillId="0" borderId="3" xfId="0" applyFont="1" applyBorder="1" applyAlignment="1">
      <alignment horizontal="center" wrapText="1"/>
    </xf>
    <xf numFmtId="0" fontId="7" fillId="0" borderId="3" xfId="0" applyFont="1" applyBorder="1" applyAlignment="1">
      <alignment horizontal="center" vertical="center" wrapText="1"/>
    </xf>
    <xf numFmtId="0" fontId="0" fillId="0" borderId="0" xfId="0" applyNumberFormat="1" applyFont="1" applyAlignment="1"/>
    <xf numFmtId="0" fontId="10" fillId="0" borderId="0" xfId="0" applyFont="1" applyAlignment="1"/>
    <xf numFmtId="0" fontId="4" fillId="0" borderId="6" xfId="0" applyFont="1" applyFill="1" applyBorder="1"/>
    <xf numFmtId="0" fontId="0" fillId="0" borderId="0" xfId="0" applyFont="1" applyFill="1" applyBorder="1" applyAlignment="1"/>
    <xf numFmtId="0" fontId="3" fillId="0" borderId="0" xfId="0" applyFont="1" applyFill="1" applyBorder="1" applyAlignment="1">
      <alignment horizontal="center"/>
    </xf>
    <xf numFmtId="0" fontId="0" fillId="0" borderId="0" xfId="0" applyFont="1" applyFill="1" applyAlignment="1">
      <alignment horizontal="center"/>
    </xf>
    <xf numFmtId="0" fontId="3" fillId="5" borderId="6" xfId="0" applyFont="1" applyFill="1" applyBorder="1" applyAlignment="1">
      <alignment horizontal="center"/>
    </xf>
    <xf numFmtId="164" fontId="4" fillId="0" borderId="6" xfId="0" applyNumberFormat="1" applyFont="1" applyFill="1" applyBorder="1"/>
    <xf numFmtId="0" fontId="4" fillId="0" borderId="6" xfId="0" applyFont="1" applyFill="1" applyBorder="1" applyAlignment="1">
      <alignment horizontal="center"/>
    </xf>
    <xf numFmtId="14" fontId="4" fillId="0" borderId="1" xfId="0" applyNumberFormat="1" applyFont="1" applyBorder="1"/>
    <xf numFmtId="42" fontId="4" fillId="0" borderId="1" xfId="1" applyFont="1" applyBorder="1"/>
    <xf numFmtId="42" fontId="4" fillId="0" borderId="1" xfId="0" applyNumberFormat="1" applyFont="1" applyBorder="1"/>
    <xf numFmtId="0" fontId="0" fillId="0" borderId="0" xfId="0" applyFont="1" applyAlignment="1">
      <alignment horizontal="center"/>
    </xf>
    <xf numFmtId="0" fontId="4" fillId="0" borderId="1" xfId="0" applyFont="1" applyBorder="1" applyAlignment="1">
      <alignment horizontal="center"/>
    </xf>
    <xf numFmtId="0" fontId="5" fillId="0" borderId="0" xfId="0" applyFont="1" applyAlignment="1">
      <alignment horizontal="center"/>
    </xf>
    <xf numFmtId="0" fontId="1" fillId="0" borderId="4" xfId="0" applyFont="1" applyFill="1" applyBorder="1" applyAlignment="1">
      <alignment horizontal="center"/>
    </xf>
    <xf numFmtId="0" fontId="0" fillId="0" borderId="4" xfId="0" applyFont="1" applyFill="1" applyBorder="1" applyAlignment="1"/>
    <xf numFmtId="0" fontId="2" fillId="0" borderId="0" xfId="0" applyFont="1" applyFill="1" applyBorder="1" applyAlignment="1">
      <alignment horizontal="center"/>
    </xf>
    <xf numFmtId="0" fontId="0" fillId="0" borderId="0" xfId="0" applyFont="1" applyFill="1" applyBorder="1" applyAlignment="1"/>
    <xf numFmtId="0" fontId="2" fillId="0" borderId="5" xfId="0" applyFont="1" applyFill="1" applyBorder="1" applyAlignment="1">
      <alignment horizontal="center"/>
    </xf>
    <xf numFmtId="0" fontId="0" fillId="0" borderId="5" xfId="0" applyFont="1" applyFill="1" applyBorder="1" applyAlignment="1"/>
    <xf numFmtId="0" fontId="9" fillId="0" borderId="4" xfId="0" applyFont="1" applyBorder="1" applyAlignment="1">
      <alignment horizontal="center"/>
    </xf>
    <xf numFmtId="0" fontId="10" fillId="0" borderId="4" xfId="0" applyFont="1" applyBorder="1" applyAlignment="1"/>
    <xf numFmtId="0" fontId="2" fillId="0" borderId="0" xfId="0" applyFont="1" applyBorder="1" applyAlignment="1">
      <alignment horizontal="center"/>
    </xf>
    <xf numFmtId="0" fontId="0" fillId="0" borderId="0" xfId="0" applyFont="1" applyBorder="1" applyAlignment="1"/>
    <xf numFmtId="0" fontId="2" fillId="0" borderId="5" xfId="0" applyFont="1" applyBorder="1" applyAlignment="1">
      <alignment horizontal="center"/>
    </xf>
    <xf numFmtId="0" fontId="0" fillId="0" borderId="5" xfId="0" applyFont="1" applyBorder="1" applyAlignment="1"/>
    <xf numFmtId="0" fontId="4" fillId="3" borderId="8" xfId="0" applyFont="1" applyFill="1" applyBorder="1" applyAlignment="1">
      <alignment horizontal="center"/>
    </xf>
    <xf numFmtId="0" fontId="8" fillId="0" borderId="10" xfId="0" applyFont="1" applyBorder="1"/>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4" fillId="3" borderId="7" xfId="0" applyFont="1" applyFill="1" applyBorder="1" applyAlignment="1">
      <alignment horizontal="center"/>
    </xf>
    <xf numFmtId="0" fontId="4" fillId="3" borderId="2" xfId="0" applyFont="1" applyFill="1" applyBorder="1"/>
    <xf numFmtId="0" fontId="4" fillId="0" borderId="2" xfId="0" applyFont="1" applyBorder="1"/>
    <xf numFmtId="0" fontId="4" fillId="0" borderId="2" xfId="0" applyFont="1" applyFill="1" applyBorder="1"/>
    <xf numFmtId="14" fontId="4" fillId="0" borderId="2" xfId="0" applyNumberFormat="1" applyFont="1" applyBorder="1"/>
    <xf numFmtId="0" fontId="4" fillId="3" borderId="2" xfId="0" applyFont="1" applyFill="1" applyBorder="1" applyAlignment="1">
      <alignment horizontal="center"/>
    </xf>
    <xf numFmtId="0" fontId="4" fillId="0" borderId="2" xfId="0" applyFont="1" applyBorder="1" applyAlignment="1">
      <alignment horizontal="center"/>
    </xf>
    <xf numFmtId="42" fontId="4" fillId="0" borderId="2" xfId="1" applyFont="1" applyBorder="1"/>
    <xf numFmtId="42" fontId="4" fillId="0" borderId="2" xfId="0" applyNumberFormat="1" applyFont="1" applyBorder="1"/>
    <xf numFmtId="0" fontId="4" fillId="4" borderId="2" xfId="0" applyFont="1" applyFill="1" applyBorder="1"/>
    <xf numFmtId="0" fontId="8" fillId="0" borderId="9" xfId="0" applyFont="1" applyBorder="1"/>
    <xf numFmtId="0" fontId="0" fillId="0" borderId="0" xfId="0" pivotButton="1" applyFont="1" applyAlignment="1"/>
    <xf numFmtId="0" fontId="12" fillId="0" borderId="0" xfId="0" applyFont="1" applyAlignment="1">
      <alignment horizontal="center" vertical="center"/>
    </xf>
    <xf numFmtId="168" fontId="0" fillId="0" borderId="0" xfId="0" applyNumberFormat="1" applyFont="1" applyAlignment="1"/>
  </cellXfs>
  <cellStyles count="2">
    <cellStyle name="Currency [0]" xfId="1" builtinId="7"/>
    <cellStyle name="Normal" xfId="0" builtinId="0"/>
  </cellStyles>
  <dxfs count="82">
    <dxf>
      <numFmt numFmtId="168" formatCode="#.##0,,&quot; jt&quot;"/>
    </dxf>
    <dxf>
      <numFmt numFmtId="166" formatCode="#.##0,,&quot;jt&quot;"/>
    </dxf>
    <dxf>
      <numFmt numFmtId="168" formatCode="#.##0,,&quot; jt&quot;"/>
    </dxf>
    <dxf>
      <numFmt numFmtId="166" formatCode="#.##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167" formatCode="0#.##0,,&quot;jt&quot;"/>
    </dxf>
    <dxf>
      <numFmt numFmtId="32" formatCode="_-&quot;Rp&quot;* #,##0_-;\-&quot;Rp&quot;* #,##0_-;_-&quot;Rp&quot;* &quot;-&quot;_-;_-@_-"/>
    </dxf>
    <dxf>
      <numFmt numFmtId="166" formatCode="#.##0,,&quot;jt&quot;"/>
    </dxf>
    <dxf>
      <numFmt numFmtId="32" formatCode="_-&quot;Rp&quot;* #,##0_-;\-&quot;Rp&quot;* #,##0_-;_-&quot;Rp&quot;* &quot;-&quot;_-;_-@_-"/>
    </dxf>
    <dxf>
      <font>
        <b val="0"/>
        <i val="0"/>
        <strike val="0"/>
        <condense val="0"/>
        <extend val="0"/>
        <outline val="0"/>
        <shadow val="0"/>
        <u val="none"/>
        <vertAlign val="baseline"/>
        <sz val="11"/>
        <color theme="1"/>
        <name val="Calibri"/>
        <family val="2"/>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32" formatCode="_-&quot;Rp&quot;* #,##0_-;\-&quot;Rp&quot;* #,##0_-;_-&quot;Rp&quot;* &quot;-&quot;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32" formatCode="_-&quot;Rp&quot;* #,##0_-;\-&quot;Rp&quot;* #,##0_-;_-&quot;Rp&quot;* &quot;-&quot;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rgb="FFF2F2F2"/>
          <bgColor rgb="FFF2F2F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rgb="FFF2F2F2"/>
          <bgColor rgb="FFF2F2F2"/>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rgb="FFF2F2F2"/>
          <bgColor rgb="FFF2F2F2"/>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rgb="FFF2F2F2"/>
          <bgColor rgb="FFF2F2F2"/>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rgb="FFF2F2F2"/>
          <bgColor rgb="FFF2F2F2"/>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none"/>
      </font>
      <fill>
        <patternFill patternType="solid">
          <fgColor theme="1"/>
          <bgColor theme="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[Hotel Reservation Management System.xlsx]Dashboard!PivotTable2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 Tujuan Tamu</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445997375328084"/>
              <c:y val="-0.19856481481481481"/>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dLbl>
          <c:idx val="0"/>
          <c:layout>
            <c:manualLayout>
              <c:x val="-0.18368085632888032"/>
              <c:y val="0.1081386335294627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09540227241189"/>
                  <c:h val="0.19666258678736859"/>
                </c:manualLayout>
              </c15:layout>
            </c:ext>
          </c:extLst>
        </c:dLbl>
      </c:pivotFmt>
    </c:pivotFmts>
    <c:plotArea>
      <c:layout/>
      <c:pieChart>
        <c:varyColors val="1"/>
        <c:ser>
          <c:idx val="0"/>
          <c:order val="0"/>
          <c:tx>
            <c:strRef>
              <c:f>Dashboard!$B$22</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0D2B-4474-AB5D-A7E695B8A78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2-0D2B-4474-AB5D-A7E695B8A786}"/>
              </c:ext>
            </c:extLst>
          </c:dPt>
          <c:dPt>
            <c:idx val="2"/>
            <c:bubble3D val="0"/>
            <c:spPr>
              <a:solidFill>
                <a:schemeClr val="accent1">
                  <a:tint val="65000"/>
                </a:schemeClr>
              </a:solidFill>
              <a:ln w="19050">
                <a:solidFill>
                  <a:schemeClr val="lt1"/>
                </a:solidFill>
              </a:ln>
              <a:effectLst/>
            </c:spPr>
          </c:dPt>
          <c:dLbls>
            <c:dLbl>
              <c:idx val="0"/>
              <c:layout>
                <c:manualLayout>
                  <c:x val="-0.18368085632888032"/>
                  <c:y val="0.1081386335294627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09540227241189"/>
                      <c:h val="0.19666258678736859"/>
                    </c:manualLayout>
                  </c15:layout>
                </c:ext>
                <c:ext xmlns:c16="http://schemas.microsoft.com/office/drawing/2014/chart" uri="{C3380CC4-5D6E-409C-BE32-E72D297353CC}">
                  <c16:uniqueId val="{00000003-0D2B-4474-AB5D-A7E695B8A786}"/>
                </c:ext>
              </c:extLst>
            </c:dLbl>
            <c:dLbl>
              <c:idx val="1"/>
              <c:layout>
                <c:manualLayout>
                  <c:x val="0.10445997375328084"/>
                  <c:y val="-0.198564814814814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D2B-4474-AB5D-A7E695B8A786}"/>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Dashboard!$A$23:$A$26</c:f>
              <c:strCache>
                <c:ptCount val="3"/>
                <c:pt idx="0">
                  <c:v>Perjalanan Bisnis</c:v>
                </c:pt>
                <c:pt idx="1">
                  <c:v>Staycation</c:v>
                </c:pt>
                <c:pt idx="2">
                  <c:v>Travelers</c:v>
                </c:pt>
              </c:strCache>
            </c:strRef>
          </c:cat>
          <c:val>
            <c:numRef>
              <c:f>Dashboard!$B$23:$B$26</c:f>
              <c:numCache>
                <c:formatCode>General</c:formatCode>
                <c:ptCount val="3"/>
                <c:pt idx="0">
                  <c:v>8</c:v>
                </c:pt>
                <c:pt idx="1">
                  <c:v>11</c:v>
                </c:pt>
                <c:pt idx="2">
                  <c:v>7</c:v>
                </c:pt>
              </c:numCache>
            </c:numRef>
          </c:val>
          <c:extLst>
            <c:ext xmlns:c16="http://schemas.microsoft.com/office/drawing/2014/chart" uri="{C3380CC4-5D6E-409C-BE32-E72D297353CC}">
              <c16:uniqueId val="{00000000-0D2B-4474-AB5D-A7E695B8A7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Management System.xlsx]Dashboard!PivotTable3</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Pendapatan per Tipe Kamar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Dashboard!$F$22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Dashboard!$E$23:$E$28</c:f>
              <c:strCache>
                <c:ptCount val="5"/>
                <c:pt idx="0">
                  <c:v>Deluxe Room</c:v>
                </c:pt>
                <c:pt idx="1">
                  <c:v>Family Room</c:v>
                </c:pt>
                <c:pt idx="2">
                  <c:v>Standard Room</c:v>
                </c:pt>
                <c:pt idx="3">
                  <c:v>Suite</c:v>
                </c:pt>
                <c:pt idx="4">
                  <c:v>Superior Room</c:v>
                </c:pt>
              </c:strCache>
            </c:strRef>
          </c:cat>
          <c:val>
            <c:numRef>
              <c:f>Dashboard!$F$23:$F$28</c:f>
              <c:numCache>
                <c:formatCode>#.##0,," jt"</c:formatCode>
                <c:ptCount val="5"/>
                <c:pt idx="0">
                  <c:v>23800000</c:v>
                </c:pt>
                <c:pt idx="1">
                  <c:v>9300000</c:v>
                </c:pt>
                <c:pt idx="2">
                  <c:v>13825000</c:v>
                </c:pt>
                <c:pt idx="3">
                  <c:v>30700000</c:v>
                </c:pt>
                <c:pt idx="4">
                  <c:v>29100000</c:v>
                </c:pt>
              </c:numCache>
            </c:numRef>
          </c:val>
          <c:extLst>
            <c:ext xmlns:c16="http://schemas.microsoft.com/office/drawing/2014/chart" uri="{C3380CC4-5D6E-409C-BE32-E72D297353CC}">
              <c16:uniqueId val="{00000000-2BE0-4E4B-92E5-77AC4FEDA831}"/>
            </c:ext>
          </c:extLst>
        </c:ser>
        <c:dLbls>
          <c:dLblPos val="outEnd"/>
          <c:showLegendKey val="0"/>
          <c:showVal val="1"/>
          <c:showCatName val="0"/>
          <c:showSerName val="0"/>
          <c:showPercent val="0"/>
          <c:showBubbleSize val="0"/>
        </c:dLbls>
        <c:gapWidth val="102"/>
        <c:axId val="1857714080"/>
        <c:axId val="1808748816"/>
      </c:barChart>
      <c:catAx>
        <c:axId val="185771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8748816"/>
        <c:crosses val="autoZero"/>
        <c:auto val="1"/>
        <c:lblAlgn val="ctr"/>
        <c:lblOffset val="100"/>
        <c:noMultiLvlLbl val="0"/>
      </c:catAx>
      <c:valAx>
        <c:axId val="1808748816"/>
        <c:scaling>
          <c:orientation val="minMax"/>
        </c:scaling>
        <c:delete val="0"/>
        <c:axPos val="b"/>
        <c:numFmt formatCode="#.##0,,&quot; 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77140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93383</xdr:colOff>
      <xdr:row>0</xdr:row>
      <xdr:rowOff>74706</xdr:rowOff>
    </xdr:from>
    <xdr:to>
      <xdr:col>1</xdr:col>
      <xdr:colOff>308162</xdr:colOff>
      <xdr:row>5</xdr:row>
      <xdr:rowOff>40341</xdr:rowOff>
    </xdr:to>
    <mc:AlternateContent xmlns:mc="http://schemas.openxmlformats.org/markup-compatibility/2006">
      <mc:Choice xmlns:a14="http://schemas.microsoft.com/office/drawing/2010/main" Requires="a14">
        <xdr:graphicFrame macro="">
          <xdr:nvGraphicFramePr>
            <xdr:cNvPr id="3" name="TANGGAL CHECK-IN">
              <a:extLst>
                <a:ext uri="{FF2B5EF4-FFF2-40B4-BE49-F238E27FC236}">
                  <a16:creationId xmlns:a16="http://schemas.microsoft.com/office/drawing/2014/main" id="{B5E214E4-1CD6-4680-93B9-C4C450998137}"/>
                </a:ext>
              </a:extLst>
            </xdr:cNvPr>
            <xdr:cNvGraphicFramePr/>
          </xdr:nvGraphicFramePr>
          <xdr:xfrm>
            <a:off x="0" y="0"/>
            <a:ext cx="0" cy="0"/>
          </xdr:xfrm>
          <a:graphic>
            <a:graphicData uri="http://schemas.microsoft.com/office/drawing/2010/slicer">
              <sle:slicer xmlns:sle="http://schemas.microsoft.com/office/drawing/2010/slicer" name="TANGGAL CHECK-IN"/>
            </a:graphicData>
          </a:graphic>
        </xdr:graphicFrame>
      </mc:Choice>
      <mc:Fallback>
        <xdr:sp macro="" textlink="">
          <xdr:nvSpPr>
            <xdr:cNvPr id="0" name=""/>
            <xdr:cNvSpPr>
              <a:spLocks noTextEdit="1"/>
            </xdr:cNvSpPr>
          </xdr:nvSpPr>
          <xdr:spPr>
            <a:xfrm>
              <a:off x="93383" y="74706"/>
              <a:ext cx="1326029" cy="89945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170516</xdr:rowOff>
    </xdr:from>
    <xdr:to>
      <xdr:col>3</xdr:col>
      <xdr:colOff>314325</xdr:colOff>
      <xdr:row>20</xdr:row>
      <xdr:rowOff>56217</xdr:rowOff>
    </xdr:to>
    <xdr:graphicFrame macro="">
      <xdr:nvGraphicFramePr>
        <xdr:cNvPr id="4" name="Chart 3">
          <a:extLst>
            <a:ext uri="{FF2B5EF4-FFF2-40B4-BE49-F238E27FC236}">
              <a16:creationId xmlns:a16="http://schemas.microsoft.com/office/drawing/2014/main" id="{02A68177-E27E-4305-A478-DD2536BF1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368954</xdr:colOff>
      <xdr:row>5</xdr:row>
      <xdr:rowOff>170328</xdr:rowOff>
    </xdr:from>
    <xdr:to>
      <xdr:col>7</xdr:col>
      <xdr:colOff>942134</xdr:colOff>
      <xdr:row>20</xdr:row>
      <xdr:rowOff>56029</xdr:rowOff>
    </xdr:to>
    <xdr:graphicFrame macro="">
      <xdr:nvGraphicFramePr>
        <xdr:cNvPr id="5" name="Chart 4">
          <a:extLst>
            <a:ext uri="{FF2B5EF4-FFF2-40B4-BE49-F238E27FC236}">
              <a16:creationId xmlns:a16="http://schemas.microsoft.com/office/drawing/2014/main" id="{5EFD8F33-5104-4710-8010-63043F815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lia Khairunnisa" refreshedDate="46281.585470370374" createdVersion="6" refreshedVersion="6" minRefreshableVersion="3" recordCount="30" xr:uid="{5C3E4BBE-7943-473B-9532-0187B925586D}">
  <cacheSource type="worksheet">
    <worksheetSource name="Table1"/>
  </cacheSource>
  <cacheFields count="22">
    <cacheField name="NO" numFmtId="0">
      <sharedItems containsSemiMixedTypes="0" containsString="0" containsNumber="1" containsInteger="1" minValue="1" maxValue="30"/>
    </cacheField>
    <cacheField name="KODE RESERVASI" numFmtId="0">
      <sharedItems/>
    </cacheField>
    <cacheField name="NAMA TAMU" numFmtId="0">
      <sharedItems/>
    </cacheField>
    <cacheField name="KONTAK TAMU" numFmtId="0">
      <sharedItems/>
    </cacheField>
    <cacheField name="JENIS IDENTITAS" numFmtId="0">
      <sharedItems/>
    </cacheField>
    <cacheField name="JENIS PEMESANAN" numFmtId="0">
      <sharedItems/>
    </cacheField>
    <cacheField name="TUJUAN TAMU" numFmtId="0">
      <sharedItems containsBlank="1" count="4">
        <s v="Staycation"/>
        <s v="Perjalanan Bisnis"/>
        <s v="Travelers"/>
        <m u="1"/>
      </sharedItems>
    </cacheField>
    <cacheField name="TANGGAL CHECK-IN" numFmtId="14">
      <sharedItems containsSemiMixedTypes="0" containsNonDate="0" containsDate="1" containsString="0" minDate="2025-05-01T00:00:00" maxDate="2025-06-08T00:00:00" count="26">
        <d v="2025-05-01T00:00:00"/>
        <d v="2025-05-02T00:00:00"/>
        <d v="2025-05-03T00:00:00"/>
        <d v="2025-05-05T00:00:00"/>
        <d v="2025-05-07T00:00:00"/>
        <d v="2025-05-10T00:00:00"/>
        <d v="2025-05-13T00:00:00"/>
        <d v="2025-05-15T00:00:00"/>
        <d v="2025-05-17T00:00:00"/>
        <d v="2025-05-18T00:00:00"/>
        <d v="2025-05-19T00:00:00"/>
        <d v="2025-05-20T00:00:00"/>
        <d v="2025-05-21T00:00:00"/>
        <d v="2025-05-22T00:00:00"/>
        <d v="2025-05-23T00:00:00"/>
        <d v="2025-05-25T00:00:00"/>
        <d v="2025-05-26T00:00:00"/>
        <d v="2025-05-27T00:00:00"/>
        <d v="2025-05-28T00:00:00"/>
        <d v="2025-05-29T00:00:00"/>
        <d v="2025-05-30T00:00:00"/>
        <d v="2025-05-31T00:00:00"/>
        <d v="2025-06-01T00:00:00"/>
        <d v="2025-06-05T00:00:00"/>
        <d v="2025-06-06T00:00:00"/>
        <d v="2025-06-07T00:00:00"/>
      </sharedItems>
      <fieldGroup base="7">
        <rangePr groupBy="months" startDate="2025-05-01T00:00:00" endDate="2025-06-08T00:00:00"/>
        <groupItems count="14">
          <s v="&lt;01/05/2025"/>
          <s v="Jan"/>
          <s v="Feb"/>
          <s v="Mar"/>
          <s v="Apr"/>
          <s v="May"/>
          <s v="Jun"/>
          <s v="Jul"/>
          <s v="Aug"/>
          <s v="Sep"/>
          <s v="Oct"/>
          <s v="Nov"/>
          <s v="Dec"/>
          <s v="&gt;08/06/2025"/>
        </groupItems>
      </fieldGroup>
    </cacheField>
    <cacheField name="TANGGAL CHECK-OUT" numFmtId="14">
      <sharedItems containsSemiMixedTypes="0" containsNonDate="0" containsDate="1" containsString="0" minDate="2025-05-04T00:00:00" maxDate="2025-06-13T00:00:00"/>
    </cacheField>
    <cacheField name="JUMLAH ORANG" numFmtId="0">
      <sharedItems containsSemiMixedTypes="0" containsString="0" containsNumber="1" containsInteger="1" minValue="1" maxValue="4"/>
    </cacheField>
    <cacheField name="KODE KAMAR" numFmtId="0">
      <sharedItems/>
    </cacheField>
    <cacheField name="TIPE KAMAR" numFmtId="0">
      <sharedItems count="5">
        <s v="Standard Room"/>
        <s v="Family Room"/>
        <s v="Superior Room"/>
        <s v="Suite"/>
        <s v="Deluxe Room"/>
      </sharedItems>
    </cacheField>
    <cacheField name="KAPASITAS KAMAR" numFmtId="0">
      <sharedItems containsSemiMixedTypes="0" containsString="0" containsNumber="1" containsInteger="1" minValue="2" maxValue="4"/>
    </cacheField>
    <cacheField name="HARGA PER MALAM" numFmtId="42">
      <sharedItems containsSemiMixedTypes="0" containsString="0" containsNumber="1" containsInteger="1" minValue="500000" maxValue="2000000"/>
    </cacheField>
    <cacheField name="LAMA INAP" numFmtId="0">
      <sharedItems/>
    </cacheField>
    <cacheField name="TOTAL BIAYA (AWAL)" numFmtId="42">
      <sharedItems containsSemiMixedTypes="0" containsString="0" containsNumber="1" containsInteger="1" minValue="1000000" maxValue="10000000"/>
    </cacheField>
    <cacheField name="JENIS LAYANAN EXTRA" numFmtId="0">
      <sharedItems/>
    </cacheField>
    <cacheField name="BIAYA TAMBAHAN" numFmtId="42">
      <sharedItems containsSemiMixedTypes="0" containsString="0" containsNumber="1" containsInteger="1" minValue="0" maxValue="300000"/>
    </cacheField>
    <cacheField name="TOTAL TAGIHAN" numFmtId="42">
      <sharedItems containsSemiMixedTypes="0" containsString="0" containsNumber="1" containsInteger="1" minValue="1000000" maxValue="10300000" count="20">
        <n v="2475000"/>
        <n v="1650000"/>
        <n v="6000000"/>
        <n v="4200000"/>
        <n v="5450000"/>
        <n v="6300000"/>
        <n v="2400000"/>
        <n v="10000000"/>
        <n v="1000000"/>
        <n v="10300000"/>
        <n v="9050000"/>
        <n v="1500000"/>
        <n v="6200000"/>
        <n v="3900000"/>
        <n v="4075000"/>
        <n v="2500000"/>
        <n v="3600000"/>
        <n v="5400000"/>
        <n v="4000000"/>
        <n v="9000000"/>
      </sharedItems>
    </cacheField>
    <cacheField name="METODE PEMBAYARAN" numFmtId="0">
      <sharedItems/>
    </cacheField>
    <cacheField name="STATUS KEDATANGAN" numFmtId="0">
      <sharedItems/>
    </cacheField>
    <cacheField name="STATUS PEMBAYARAN" numFmtId="0">
      <sharedItems/>
    </cacheField>
  </cacheFields>
  <extLst>
    <ext xmlns:x14="http://schemas.microsoft.com/office/spreadsheetml/2009/9/main" uri="{725AE2AE-9491-48be-B2B4-4EB974FC3084}">
      <x14:pivotCacheDefinition pivotCacheId="1057206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s v="K-BO-01/05/25-S-KMR1"/>
    <s v="LOKA WIRANTA"/>
    <s v="loka.wiranta@maildummy.com"/>
    <s v="KTP"/>
    <s v="Booking Online"/>
    <x v="0"/>
    <x v="0"/>
    <d v="2025-05-04T00:00:00"/>
    <n v="2"/>
    <s v="KMR1"/>
    <x v="0"/>
    <n v="2"/>
    <n v="800000"/>
    <s v="3 hari"/>
    <n v="2400000"/>
    <s v="Sarapan"/>
    <n v="75000"/>
    <x v="0"/>
    <s v="TF/VA/Kartu Kredit"/>
    <s v="sudah check out"/>
    <s v="Lunas"/>
  </r>
  <r>
    <n v="2"/>
    <s v="K-WI-01/05/25-S-KMR5"/>
    <s v="HANA LIN"/>
    <s v="+62 813-2345-6789"/>
    <s v="KTP"/>
    <s v="Walk-in"/>
    <x v="0"/>
    <x v="0"/>
    <d v="2025-05-04T00:00:00"/>
    <n v="3"/>
    <s v="KMR5"/>
    <x v="1"/>
    <n v="3"/>
    <n v="500000"/>
    <s v="3 hari"/>
    <n v="1500000"/>
    <s v="Box Bayi"/>
    <n v="150000"/>
    <x v="1"/>
    <s v="Tunai/Kartu Kredit/Debit"/>
    <s v="sudah check out"/>
    <s v="Lunas"/>
  </r>
  <r>
    <n v="3"/>
    <s v="P-BT-01/05/25-B-KMR2"/>
    <s v="SANITA VELORA"/>
    <s v="+62 811-9876-5432"/>
    <s v="Paspor"/>
    <s v="Booking via Telepon"/>
    <x v="1"/>
    <x v="0"/>
    <d v="2025-05-06T00:00:00"/>
    <n v="1"/>
    <s v="KMR2"/>
    <x v="2"/>
    <n v="2"/>
    <n v="1200000"/>
    <s v="5 hari"/>
    <n v="6000000"/>
    <s v="-"/>
    <n v="0"/>
    <x v="2"/>
    <s v="TF/Tunai"/>
    <s v="sudah check out"/>
    <s v="Lunas"/>
  </r>
  <r>
    <n v="4"/>
    <s v="K-BT-02/05/25-T-KMR4"/>
    <s v="VANYA RUSELINA"/>
    <s v="+62 814-8765-4321"/>
    <s v="KTP"/>
    <s v="Booking via Telepon"/>
    <x v="2"/>
    <x v="1"/>
    <d v="2025-05-04T00:00:00"/>
    <n v="3"/>
    <s v="KMR4"/>
    <x v="3"/>
    <n v="4"/>
    <n v="2000000"/>
    <s v="2 hari"/>
    <n v="4000000"/>
    <s v="Layanan Antar-Jemput"/>
    <n v="200000"/>
    <x v="3"/>
    <s v="TF/Tunai"/>
    <s v="sudah check out"/>
    <s v="Lunas"/>
  </r>
  <r>
    <n v="5"/>
    <s v="P-WI-03/05/25-S-KMR3"/>
    <s v="REZA TARMOKO"/>
    <s v="+62 816-6543-2109"/>
    <s v="Paspor"/>
    <s v="Walk-in"/>
    <x v="0"/>
    <x v="2"/>
    <d v="2025-05-06T00:00:00"/>
    <n v="2"/>
    <s v="KMR3"/>
    <x v="4"/>
    <n v="2"/>
    <n v="1800000"/>
    <s v="3 hari"/>
    <n v="5400000"/>
    <s v="Laundry"/>
    <n v="50000"/>
    <x v="4"/>
    <s v="Tunai/Kartu Kredit/Debit"/>
    <s v="sudah check out"/>
    <s v="Lunas"/>
  </r>
  <r>
    <n v="6"/>
    <s v="K-BO-05/05/25-B-KMR2"/>
    <s v="DARGO MAWESTA"/>
    <s v="dargo.mawesta@dummy.com"/>
    <s v="KTP"/>
    <s v="Booking Online"/>
    <x v="1"/>
    <x v="3"/>
    <d v="2025-05-10T00:00:00"/>
    <n v="2"/>
    <s v="KMR2"/>
    <x v="2"/>
    <n v="2"/>
    <n v="1200000"/>
    <s v="5 hari"/>
    <n v="6000000"/>
    <s v="Paket Spa &amp; Pijat"/>
    <n v="300000"/>
    <x v="5"/>
    <s v="TF/VA/Kartu Kredit"/>
    <s v="sudah check out"/>
    <s v="Lunas"/>
  </r>
  <r>
    <n v="7"/>
    <s v="K-WI-05/05/25-T-KMR2"/>
    <s v="TISYA AVENDRA"/>
    <s v="+62 817-7654-3210"/>
    <s v="KTP"/>
    <s v="Walk-in"/>
    <x v="2"/>
    <x v="3"/>
    <d v="2025-05-07T00:00:00"/>
    <n v="1"/>
    <s v="KMR2"/>
    <x v="2"/>
    <n v="2"/>
    <n v="1200000"/>
    <s v="2 hari"/>
    <n v="2400000"/>
    <s v="-"/>
    <n v="0"/>
    <x v="6"/>
    <s v="Tunai/Kartu Kredit/Debit"/>
    <s v="sudah check out"/>
    <s v="Lunas"/>
  </r>
  <r>
    <n v="8"/>
    <s v="K-BT-07/05/25-T-KMR2"/>
    <s v="KARYO LIMANTARA"/>
    <s v="+62 818-6543-2109"/>
    <s v="KTP"/>
    <s v="Booking via Telepon"/>
    <x v="2"/>
    <x v="4"/>
    <d v="2025-05-09T00:00:00"/>
    <n v="2"/>
    <s v="KMR2"/>
    <x v="2"/>
    <n v="2"/>
    <n v="1200000"/>
    <s v="2 hari"/>
    <n v="2400000"/>
    <s v="-"/>
    <n v="0"/>
    <x v="6"/>
    <s v="TF/Tunai"/>
    <s v="sudah check out"/>
    <s v="Lunas"/>
  </r>
  <r>
    <n v="9"/>
    <s v="P-BO-10/05/25-B-KMR4"/>
    <s v="JEFRO MALANTARA"/>
    <s v="jefro.malantara@dummy.org"/>
    <s v="Paspor"/>
    <s v="Booking Online"/>
    <x v="1"/>
    <x v="5"/>
    <d v="2025-05-15T00:00:00"/>
    <n v="4"/>
    <s v="KMR4"/>
    <x v="3"/>
    <n v="4"/>
    <n v="2000000"/>
    <s v="5 hari"/>
    <n v="10000000"/>
    <s v="-"/>
    <n v="0"/>
    <x v="7"/>
    <s v="TF/VA/Kartu Kredit"/>
    <s v="sudah check out"/>
    <s v="Lunas"/>
  </r>
  <r>
    <n v="10"/>
    <s v="P-BO-13/05/25-S-KMR1"/>
    <s v="BINAR KENDARTA"/>
    <s v="binar.kendarta@maildummy.net"/>
    <s v="Paspor"/>
    <s v="Booking Online"/>
    <x v="0"/>
    <x v="6"/>
    <d v="2025-05-16T00:00:00"/>
    <n v="1"/>
    <s v="KMR1"/>
    <x v="0"/>
    <n v="2"/>
    <n v="800000"/>
    <s v="3 hari"/>
    <n v="2400000"/>
    <s v="Sarapan"/>
    <n v="75000"/>
    <x v="0"/>
    <s v="TF/VA/Kartu Kredit"/>
    <s v="sudah check out"/>
    <s v="Lunas"/>
  </r>
  <r>
    <n v="11"/>
    <s v="P-WI-15/05/25-S-KMR5"/>
    <s v="CHIKA YURESTA"/>
    <s v="+62 813-2109-8765"/>
    <s v="Paspor"/>
    <s v="Walk-in"/>
    <x v="0"/>
    <x v="7"/>
    <d v="2025-05-18T00:00:00"/>
    <n v="1"/>
    <s v="KMR5"/>
    <x v="1"/>
    <n v="3"/>
    <n v="500000"/>
    <s v="3 hari"/>
    <n v="1500000"/>
    <s v="Box Bayi"/>
    <n v="150000"/>
    <x v="1"/>
    <s v="Tunai/Kartu Kredit/Debit"/>
    <s v="sudah check out"/>
    <s v="Lunas"/>
  </r>
  <r>
    <n v="12"/>
    <s v="K-WI-15/05/25-T-KMR5"/>
    <s v="MEI ZHANG"/>
    <s v="+62 813-1098-7654"/>
    <s v="KTP"/>
    <s v="Walk-in"/>
    <x v="2"/>
    <x v="7"/>
    <d v="2025-05-17T00:00:00"/>
    <n v="3"/>
    <s v="KMR5"/>
    <x v="1"/>
    <n v="3"/>
    <n v="500000"/>
    <s v="2 hari"/>
    <n v="1000000"/>
    <s v="-"/>
    <n v="0"/>
    <x v="8"/>
    <s v="Tunai/Kartu Kredit/Debit"/>
    <s v="sudah check out"/>
    <s v="Lunas"/>
  </r>
  <r>
    <n v="13"/>
    <s v="P-BT-17/05/25-B-KMR4"/>
    <s v="LIU SHISHI"/>
    <s v="+62 810-4321-0987"/>
    <s v="Paspor"/>
    <s v="Booking via Telepon"/>
    <x v="1"/>
    <x v="8"/>
    <d v="2025-05-22T00:00:00"/>
    <n v="2"/>
    <s v="KMR4"/>
    <x v="3"/>
    <n v="4"/>
    <n v="2000000"/>
    <s v="5 hari"/>
    <n v="10000000"/>
    <s v="Paket Spa &amp; Pijat"/>
    <n v="300000"/>
    <x v="9"/>
    <s v="TF/Tunai"/>
    <s v="sudah check out"/>
    <s v="Lunas"/>
  </r>
  <r>
    <n v="14"/>
    <s v="P-BO-18/05/25-B-KMR3"/>
    <s v="ZHANG ROUNAN"/>
    <s v="zhang.rounan@fakedomain.org"/>
    <s v="Paspor"/>
    <s v="Booking Online"/>
    <x v="1"/>
    <x v="9"/>
    <d v="2025-05-23T00:00:00"/>
    <n v="1"/>
    <s v="KMR3"/>
    <x v="4"/>
    <n v="2"/>
    <n v="1800000"/>
    <s v="5 hari"/>
    <n v="9000000"/>
    <s v="Laundry"/>
    <n v="50000"/>
    <x v="10"/>
    <s v="TF/VA/Kartu Kredit"/>
    <s v="sudah check out"/>
    <s v="Lunas"/>
  </r>
  <r>
    <n v="15"/>
    <s v="P-WI-19/05/25-B-KMR2"/>
    <s v="SONG ZUER"/>
    <s v="+62 810-3210-9876"/>
    <s v="Paspor"/>
    <s v="Walk-in"/>
    <x v="1"/>
    <x v="10"/>
    <d v="2025-05-24T00:00:00"/>
    <n v="2"/>
    <s v="KMR2"/>
    <x v="2"/>
    <n v="2"/>
    <n v="1200000"/>
    <s v="5 hari"/>
    <n v="6000000"/>
    <s v="-"/>
    <n v="0"/>
    <x v="2"/>
    <s v="Tunai/Kartu Kredit/Debit"/>
    <s v="sudah check out"/>
    <s v="Lunas"/>
  </r>
  <r>
    <n v="16"/>
    <s v="K-BO-20/05/25-S-KMR5"/>
    <s v="VARO GHANTIRA"/>
    <s v="varo.ghantira@maildummy.org"/>
    <s v="KTP"/>
    <s v="Booking Online"/>
    <x v="0"/>
    <x v="11"/>
    <d v="2025-05-23T00:00:00"/>
    <n v="2"/>
    <s v="KMR5"/>
    <x v="1"/>
    <n v="3"/>
    <n v="500000"/>
    <s v="3 hari"/>
    <n v="1500000"/>
    <s v="-"/>
    <n v="0"/>
    <x v="11"/>
    <s v="TF/VA/Kartu Kredit"/>
    <s v="sudah check out"/>
    <s v="Lunas"/>
  </r>
  <r>
    <n v="17"/>
    <s v="P-BT-21/05/25-S-KMR4"/>
    <s v="ZHANG YUNLONG"/>
    <s v="+62 814-0987-6543"/>
    <s v="Paspor"/>
    <s v="Booking via Telepon"/>
    <x v="0"/>
    <x v="12"/>
    <d v="2025-05-24T00:00:00"/>
    <n v="4"/>
    <s v="KMR4"/>
    <x v="3"/>
    <n v="4"/>
    <n v="2000000"/>
    <s v="3 hari"/>
    <n v="6000000"/>
    <s v="Layanan Antar-Jemput"/>
    <n v="200000"/>
    <x v="12"/>
    <s v="TF/Tunai"/>
    <s v="sudah check out"/>
    <s v="Lunas"/>
  </r>
  <r>
    <n v="18"/>
    <s v="P-BO-22/05/25-T-KMR3"/>
    <s v="BAI JINTING"/>
    <s v="bai.jinting@dummyemail.net"/>
    <s v="Paspor"/>
    <s v="Booking Online"/>
    <x v="2"/>
    <x v="13"/>
    <d v="2025-05-24T00:00:00"/>
    <n v="1"/>
    <s v="KMR3"/>
    <x v="4"/>
    <n v="2"/>
    <n v="1800000"/>
    <s v="2 hari"/>
    <n v="3600000"/>
    <s v="Paket Spa &amp; Pijat"/>
    <n v="300000"/>
    <x v="13"/>
    <s v="TF/VA/Kartu Kredit"/>
    <s v="sudah check out"/>
    <s v="Lunas"/>
  </r>
  <r>
    <n v="19"/>
    <s v="P-WI-23/05/25-T-KMR2"/>
    <s v="LIU YUNING"/>
    <s v="+62 812-0739-8392"/>
    <s v="Paspor"/>
    <s v="Walk-in"/>
    <x v="2"/>
    <x v="14"/>
    <d v="2025-05-25T00:00:00"/>
    <n v="2"/>
    <s v="KMR2"/>
    <x v="2"/>
    <n v="2"/>
    <n v="1200000"/>
    <s v="2 hari"/>
    <n v="2400000"/>
    <s v="-"/>
    <n v="0"/>
    <x v="6"/>
    <s v="Tunai/Kartu Kredit/Debit"/>
    <s v="sudah check out"/>
    <s v="Lunas"/>
  </r>
  <r>
    <n v="20"/>
    <s v="K-BO-25/05/25-B-KMR1"/>
    <s v="SELVI MAHARENTIYA"/>
    <s v="selvi.mah@fakedomain.org"/>
    <s v="KTP"/>
    <s v="Booking Online"/>
    <x v="1"/>
    <x v="15"/>
    <d v="2025-05-30T00:00:00"/>
    <n v="2"/>
    <s v="KMR1"/>
    <x v="0"/>
    <n v="2"/>
    <n v="800000"/>
    <s v="5 hari"/>
    <n v="4000000"/>
    <s v="Sarapan"/>
    <n v="75000"/>
    <x v="14"/>
    <s v="TF/VA/Kartu Kredit"/>
    <s v="sudah check out"/>
    <s v="Lunas"/>
  </r>
  <r>
    <n v="21"/>
    <s v="K-BO-26/05/25-T-KMR5"/>
    <s v="ETHAN CHALLISTER"/>
    <s v="ethan.chal@maildummy.com"/>
    <s v="KTP"/>
    <s v="Booking Online"/>
    <x v="2"/>
    <x v="16"/>
    <d v="2025-05-28T00:00:00"/>
    <n v="2"/>
    <s v="KMR5"/>
    <x v="1"/>
    <n v="3"/>
    <n v="500000"/>
    <s v="2 hari"/>
    <n v="1000000"/>
    <s v="-"/>
    <n v="0"/>
    <x v="8"/>
    <s v="TF/VA/Kartu Kredit"/>
    <s v="sudah check out"/>
    <s v="Lunas"/>
  </r>
  <r>
    <n v="22"/>
    <s v="P-BT-27/05/25-S-KMR1"/>
    <s v="DENO ABHYAKA"/>
    <s v="+62 812-3456-7890"/>
    <s v="Paspor"/>
    <s v="Booking via Telepon"/>
    <x v="0"/>
    <x v="17"/>
    <d v="2025-05-30T00:00:00"/>
    <n v="1"/>
    <s v="KMR1"/>
    <x v="0"/>
    <n v="2"/>
    <n v="800000"/>
    <s v="3 hari"/>
    <n v="2400000"/>
    <s v="-"/>
    <n v="0"/>
    <x v="6"/>
    <s v="TF/Tunai"/>
    <s v="sudah check out"/>
    <s v="Lunas"/>
  </r>
  <r>
    <n v="23"/>
    <s v="P-BT-28/05/25-B-KMR5"/>
    <s v="LINDA SERWASTI"/>
    <s v="+62 817-5432-1098"/>
    <s v="Paspor"/>
    <s v="Booking via Telepon"/>
    <x v="1"/>
    <x v="18"/>
    <d v="2025-06-02T00:00:00"/>
    <n v="2"/>
    <s v="KMR5"/>
    <x v="1"/>
    <n v="3"/>
    <n v="500000"/>
    <s v="5 hari"/>
    <n v="2500000"/>
    <s v="-"/>
    <n v="0"/>
    <x v="15"/>
    <s v="TF/Tunai"/>
    <s v="sudah check out"/>
    <s v="Lunas"/>
  </r>
  <r>
    <n v="24"/>
    <s v="K-BO-29/05/25-S-KMR2"/>
    <s v="CALVIN TRASMOKO"/>
    <s v="calvin.trasmoko@dummy.com"/>
    <s v="KTP"/>
    <s v="Booking Online"/>
    <x v="0"/>
    <x v="19"/>
    <d v="2025-06-01T00:00:00"/>
    <n v="1"/>
    <s v="KMR2"/>
    <x v="2"/>
    <n v="2"/>
    <n v="1200000"/>
    <s v="3 hari"/>
    <n v="3600000"/>
    <s v="-"/>
    <n v="0"/>
    <x v="16"/>
    <s v="TF/VA/Kartu Kredit"/>
    <s v="sudah check out"/>
    <s v="Lunas"/>
  </r>
  <r>
    <n v="25"/>
    <s v="P-WI-30/05/25-S-KMR3"/>
    <s v="YAVITA ORLENZA"/>
    <s v="+62 815-8765-4321"/>
    <s v="Paspor"/>
    <s v="Walk-in"/>
    <x v="0"/>
    <x v="20"/>
    <d v="2025-06-02T00:00:00"/>
    <n v="1"/>
    <s v="KMR3"/>
    <x v="4"/>
    <n v="2"/>
    <n v="1800000"/>
    <s v="3 hari"/>
    <n v="5400000"/>
    <s v="-"/>
    <n v="0"/>
    <x v="17"/>
    <s v="Tunai/Kartu Kredit/Debit"/>
    <s v="sudah check out"/>
    <s v="Lunas"/>
  </r>
  <r>
    <n v="26"/>
    <s v="K-BO-31/05/25-S-KMR1"/>
    <s v="GALAN MERDANA"/>
    <s v="galan.merdana@fakemail.com"/>
    <s v="KTP"/>
    <s v="Booking Online"/>
    <x v="0"/>
    <x v="21"/>
    <d v="2025-06-03T00:00:00"/>
    <n v="2"/>
    <s v="KMR1"/>
    <x v="0"/>
    <n v="2"/>
    <n v="800000"/>
    <s v="3 hari"/>
    <n v="2400000"/>
    <s v="-"/>
    <n v="0"/>
    <x v="6"/>
    <s v="TF/VA/Kartu Kredit"/>
    <s v="sudah check out"/>
    <s v="Lunas"/>
  </r>
  <r>
    <n v="27"/>
    <s v="K-BO-01/06/25-B-KMR4"/>
    <s v="SYIFA ANTAVERA"/>
    <s v="syifa.antavera@dummyemail.org"/>
    <s v="KTP"/>
    <s v="Booking Online"/>
    <x v="1"/>
    <x v="22"/>
    <d v="2025-06-06T00:00:00"/>
    <n v="4"/>
    <s v="KMR4"/>
    <x v="3"/>
    <n v="4"/>
    <n v="2000000"/>
    <s v="5 hari"/>
    <n v="10000000"/>
    <s v="-"/>
    <n v="0"/>
    <x v="7"/>
    <s v="TF/VA/Kartu Kredit"/>
    <s v="sudah check out"/>
    <s v="Lunas"/>
  </r>
  <r>
    <n v="28"/>
    <s v="P-BO-05/06/25-T-KMR5"/>
    <s v="NIRA ZALINDRA"/>
    <s v="nira.zalindra@mailfakes.net"/>
    <s v="Paspor"/>
    <s v="Booking Online"/>
    <x v="2"/>
    <x v="23"/>
    <d v="2025-06-07T00:00:00"/>
    <n v="2"/>
    <s v="KMR5"/>
    <x v="1"/>
    <n v="3"/>
    <n v="500000"/>
    <s v="2 hari"/>
    <n v="1000000"/>
    <s v="-"/>
    <n v="0"/>
    <x v="8"/>
    <s v="TF/VA/Kartu Kredit"/>
    <s v="sudah check out"/>
    <s v="Lunas"/>
  </r>
  <r>
    <n v="29"/>
    <s v="P-BT-06/06/25-B-KMR1"/>
    <s v="LIAM HARGROVE"/>
    <s v="+62 815-9876-5432"/>
    <s v="Paspor"/>
    <s v="Booking via Telepon"/>
    <x v="1"/>
    <x v="24"/>
    <d v="2025-06-11T00:00:00"/>
    <n v="1"/>
    <s v="KMR1"/>
    <x v="0"/>
    <n v="2"/>
    <n v="800000"/>
    <s v="5 hari"/>
    <n v="4000000"/>
    <s v="-"/>
    <n v="0"/>
    <x v="18"/>
    <s v="TF/Tunai"/>
    <s v="sudah check out"/>
    <s v="Lunas"/>
  </r>
  <r>
    <n v="30"/>
    <s v="P-BT-07/06/25-B-KMR3"/>
    <s v="YICHEN LUO"/>
    <s v="+62 812-2134-5555"/>
    <s v="Paspor"/>
    <s v="Booking via Telepon"/>
    <x v="1"/>
    <x v="25"/>
    <d v="2025-06-12T00:00:00"/>
    <n v="2"/>
    <s v="KMR3"/>
    <x v="4"/>
    <n v="2"/>
    <n v="1800000"/>
    <s v="5 hari"/>
    <n v="9000000"/>
    <s v="-"/>
    <n v="0"/>
    <x v="19"/>
    <s v="TF/Tunai"/>
    <s v="sudah check out"/>
    <s v="Lun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FA78A9-C949-4A8F-8F2D-0016CA683203}" name="PivotTable2" cacheId="1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
  <location ref="A22:B26" firstHeaderRow="1"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5">
        <item x="1"/>
        <item x="0"/>
        <item x="2"/>
        <item m="1" x="3"/>
        <item t="default"/>
      </items>
    </pivotField>
    <pivotField compact="0" outline="0" showAll="0">
      <items count="15">
        <item h="1" x="0"/>
        <item h="1" x="1"/>
        <item h="1" x="2"/>
        <item h="1" x="3"/>
        <item h="1" x="4"/>
        <item x="5"/>
        <item h="1" x="6"/>
        <item h="1" x="7"/>
        <item h="1" x="8"/>
        <item h="1" x="9"/>
        <item h="1" x="10"/>
        <item h="1" x="11"/>
        <item h="1" x="12"/>
        <item h="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Items count="1">
    <i/>
  </colItems>
  <dataFields count="1">
    <dataField name="Count of TUJUAN TAMU" fld="6"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1BD95E-A358-418E-B60A-8E7921F35235}" name="PivotTable3" cacheId="1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
  <location ref="E22:F28" firstHeaderRow="1"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0"/>
        <item x="2"/>
        <item m="1" x="3"/>
        <item t="default"/>
      </items>
    </pivotField>
    <pivotField compact="0" outline="0" showAll="0">
      <items count="15">
        <item h="1" x="0"/>
        <item h="1" x="1"/>
        <item h="1" x="2"/>
        <item h="1" x="3"/>
        <item h="1" x="4"/>
        <item x="5"/>
        <item h="1" x="6"/>
        <item h="1" x="7"/>
        <item h="1" x="8"/>
        <item h="1" x="9"/>
        <item h="1" x="10"/>
        <item h="1" x="11"/>
        <item h="1" x="12"/>
        <item h="1" x="13"/>
        <item t="default"/>
      </items>
    </pivotField>
    <pivotField compact="0" outline="0" showAll="0"/>
    <pivotField compact="0" outline="0" showAll="0"/>
    <pivotField compact="0" outline="0" showAll="0"/>
    <pivotField axis="axisRow" compact="0" outline="0" showAll="0">
      <items count="6">
        <item x="4"/>
        <item x="1"/>
        <item x="0"/>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21">
        <item x="8"/>
        <item x="11"/>
        <item x="1"/>
        <item x="6"/>
        <item x="0"/>
        <item x="15"/>
        <item x="16"/>
        <item x="13"/>
        <item x="18"/>
        <item x="14"/>
        <item x="3"/>
        <item x="17"/>
        <item x="4"/>
        <item x="2"/>
        <item x="12"/>
        <item x="5"/>
        <item x="19"/>
        <item x="10"/>
        <item x="7"/>
        <item x="9"/>
        <item t="default"/>
      </items>
    </pivotField>
    <pivotField compact="0" outline="0" showAll="0"/>
    <pivotField compact="0" outline="0" showAll="0"/>
    <pivotField compact="0" outline="0" showAll="0"/>
  </pivotFields>
  <rowFields count="1">
    <field x="11"/>
  </rowFields>
  <rowItems count="6">
    <i>
      <x/>
    </i>
    <i>
      <x v="1"/>
    </i>
    <i>
      <x v="2"/>
    </i>
    <i>
      <x v="3"/>
    </i>
    <i>
      <x v="4"/>
    </i>
    <i t="grand">
      <x/>
    </i>
  </rowItems>
  <colItems count="1">
    <i/>
  </colItems>
  <dataFields count="1">
    <dataField name="Sum of TOTAL TAGIHAN" fld="18" baseField="0" baseItem="0" numFmtId="168"/>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CHECK_IN" xr10:uid="{7C355789-5ADC-4CAC-A619-4DBDCDF71A5C}" sourceName="TANGGAL CHECK-IN">
  <pivotTables>
    <pivotTable tabId="3" name="PivotTable3"/>
    <pivotTable tabId="3" name="PivotTable2"/>
  </pivotTables>
  <data>
    <tabular pivotCacheId="1057206427">
      <items count="14">
        <i x="5" s="1"/>
        <i x="6"/>
        <i x="1" nd="1"/>
        <i x="2" nd="1"/>
        <i x="3" nd="1"/>
        <i x="4" nd="1"/>
        <i x="7"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CHECK-IN" xr10:uid="{FEED3A53-54B8-4F14-855D-0E21718FBC52}" cache="Slicer_TANGGAL_CHECK_IN" caption="Month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E1FBD8-B28A-47BA-B80D-AD1C63C3E3E1}" name="Table1" displayName="Table1" ref="A6:V36" totalsRowShown="0" headerRowDxfId="81" tableBorderDxfId="80">
  <autoFilter ref="A6:V36" xr:uid="{787BBCFA-373C-4158-B1CB-B8E51CEFAAB0}"/>
  <tableColumns count="22">
    <tableColumn id="1" xr3:uid="{F430C6F8-9483-4403-A1DA-549FE22E6B15}" name="NO" dataDxfId="79"/>
    <tableColumn id="2" xr3:uid="{18691F9B-DCE7-4633-8A1F-1A9325EE7680}" name="KODE RESERVASI" dataDxfId="78"/>
    <tableColumn id="3" xr3:uid="{7A23450A-8A94-4236-932F-BC9E500F27BA}" name="NAMA TAMU" dataDxfId="77"/>
    <tableColumn id="4" xr3:uid="{0F8BFEDA-4D83-43F1-BD9A-DBBB76C786FF}" name="KONTAK TAMU" dataDxfId="76"/>
    <tableColumn id="5" xr3:uid="{5F5E260E-F8FF-4C15-8D73-3A095030386F}" name="JENIS IDENTITAS" dataDxfId="75">
      <calculatedColumnFormula>IF(LEFT(B7,1)="K","KTP","Paspor")</calculatedColumnFormula>
    </tableColumn>
    <tableColumn id="6" xr3:uid="{92D98BDD-6E14-486B-979E-72F4B0CD501A}" name="JENIS PEMESANAN" dataDxfId="74">
      <calculatedColumnFormula>_xlfn.IFS(MID(B7,3,2)="BO","Booking Online",MID(B7,3,2)="WI","Walk-in",TRUE,"Booking via Telepon")</calculatedColumnFormula>
    </tableColumn>
    <tableColumn id="7" xr3:uid="{47FE50B1-AE81-42C1-9594-3C0CA9F646E4}" name="TUJUAN TAMU" dataDxfId="73">
      <calculatedColumnFormula>IF(MID(B7,15,1)="S","Staycation",IF(MID(B7,15,1)="T","Travelers","Perjalanan Bisnis"))</calculatedColumnFormula>
    </tableColumn>
    <tableColumn id="8" xr3:uid="{7BCE1814-BA76-42B8-BDBE-CC6456AD7F5D}" name="TANGGAL CHECK-IN" dataDxfId="72">
      <calculatedColumnFormula>DATEVALUE(MID(B7,6,8))</calculatedColumnFormula>
    </tableColumn>
    <tableColumn id="9" xr3:uid="{FB9BB838-8A29-4227-BBD9-B9893B9B234B}" name="TANGGAL CHECK-OUT" dataDxfId="71">
      <calculatedColumnFormula>_xlfn.IFS(G7="Staycation",H7+3,G7="Walk-in",H7+3,G7="Perjalanan Bisnis",H7+5,TRUE,H7+2)</calculatedColumnFormula>
    </tableColumn>
    <tableColumn id="10" xr3:uid="{CFD9B7D6-D88F-486C-905F-52A290F68650}" name="JUMLAH ORANG" dataDxfId="70"/>
    <tableColumn id="11" xr3:uid="{84A883DE-7989-4675-BA57-4A01452AFA0F}" name="KODE KAMAR" dataDxfId="69">
      <calculatedColumnFormula>RIGHT(B7,4)</calculatedColumnFormula>
    </tableColumn>
    <tableColumn id="12" xr3:uid="{6604DCA0-4783-4576-AE36-C22990E307FA}" name="TIPE KAMAR" dataDxfId="68">
      <calculatedColumnFormula>INDEX(Master_Data!$A$7:$A$11,MATCH(Reservation_Log!K7,Master_Data!$D$7:$D$11,0))</calculatedColumnFormula>
    </tableColumn>
    <tableColumn id="13" xr3:uid="{9C82994B-DF7A-4E66-B94F-2139168D2B27}" name="KAPASITAS KAMAR" dataDxfId="67">
      <calculatedColumnFormula>INDEX(Master_Data!$C$7:$C$11,MATCH(Reservation_Log!K7,Master_Data!$D$7:$D$11,0))</calculatedColumnFormula>
    </tableColumn>
    <tableColumn id="14" xr3:uid="{BDA3B3A4-9EA0-46EF-B2DB-D6D3D079E25B}" name="HARGA PER MALAM" dataDxfId="66" dataCellStyle="Currency [0]">
      <calculatedColumnFormula>INDEX(Master_Data!$B$7:$B$11,MATCH(Reservation_Log!K7,Master_Data!$D$7:$D$11,0))</calculatedColumnFormula>
    </tableColumn>
    <tableColumn id="15" xr3:uid="{75A701F6-1F5B-4CB2-9E9E-2F42B1568C58}" name="LAMA INAP" dataDxfId="65">
      <calculatedColumnFormula>I7-H7&amp;" hari"</calculatedColumnFormula>
    </tableColumn>
    <tableColumn id="16" xr3:uid="{40F2C7AF-E0FE-429A-9DA8-194E15E9B4A8}" name="TOTAL BIAYA (AWAL)" dataDxfId="64">
      <calculatedColumnFormula>N7*SUBSTITUTE(O7," hari","")</calculatedColumnFormula>
    </tableColumn>
    <tableColumn id="17" xr3:uid="{FA04F540-B550-4517-BED8-CCEAA56E0CBF}" name="JENIS LAYANAN EXTRA" dataDxfId="63"/>
    <tableColumn id="18" xr3:uid="{6570ECF0-6FDC-4E95-ACF5-1EE3A7D56A96}" name="BIAYA TAMBAHAN" dataDxfId="62" dataCellStyle="Currency [0]">
      <calculatedColumnFormula>_xlfn.IFS(Q7="Sarapan",75000,Q7="Box Bayi",150000,Q7="Layanan Antar-Jemput",200000,Q7="Laundry",50000,Q7="Paket Spa &amp; Pijat",300000,TRUE,0)</calculatedColumnFormula>
    </tableColumn>
    <tableColumn id="19" xr3:uid="{56D83870-9D13-4EF2-835B-3D2474269E6B}" name="TOTAL TAGIHAN" dataDxfId="61">
      <calculatedColumnFormula>P7+R7</calculatedColumnFormula>
    </tableColumn>
    <tableColumn id="20" xr3:uid="{4F76B40B-A050-4343-8802-3E91BC37993C}" name="METODE PEMBAYARAN" dataDxfId="60">
      <calculatedColumnFormula>_xlfn.IFS(F7="Booking Online","TF/VA/Kartu Kredit",F7="Walk-in","Tunai/Kartu Kredit/Debit",TRUE,"TF/Tunai")</calculatedColumnFormula>
    </tableColumn>
    <tableColumn id="21" xr3:uid="{95422622-86E0-4A06-BC91-4248F01CB0D3}" name="STATUS KEDATANGAN" dataDxfId="59">
      <calculatedColumnFormula>_xlfn.IFS(I7&lt;TODAY(),"sudah check out",I7&gt;TODAY(),"belum datang",TRUE,"sedang menginap ")</calculatedColumnFormula>
    </tableColumn>
    <tableColumn id="22" xr3:uid="{DF0F5125-D6FA-4457-8E47-C67BAF3827DC}" name="STATUS PEMBAYARAN" dataDxfId="58">
      <calculatedColumnFormula>IF(AND(T7="Tunai/Kartu Kredit/Debit",U7="belum datang"),"Belum lunas","Lunas")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showGridLines="0" zoomScale="75" zoomScaleNormal="75" workbookViewId="0">
      <selection activeCell="G14" sqref="G14"/>
    </sheetView>
  </sheetViews>
  <sheetFormatPr defaultColWidth="14.42578125" defaultRowHeight="15" customHeight="1" x14ac:dyDescent="0.25"/>
  <cols>
    <col min="1" max="1" width="16.28515625" style="10" customWidth="1"/>
    <col min="2" max="2" width="19.5703125" style="10" customWidth="1"/>
    <col min="3" max="3" width="18.42578125" style="10" customWidth="1"/>
    <col min="4" max="4" width="13.7109375" style="10" customWidth="1"/>
    <col min="5" max="6" width="8.7109375" style="10" customWidth="1"/>
    <col min="7" max="7" width="21.85546875" style="10" bestFit="1" customWidth="1"/>
    <col min="8" max="8" width="4.28515625" style="19" customWidth="1"/>
    <col min="9" max="9" width="5.42578125" style="10" customWidth="1"/>
    <col min="10" max="21" width="8.7109375" style="10" customWidth="1"/>
    <col min="22" max="25" width="8.7109375" customWidth="1"/>
  </cols>
  <sheetData>
    <row r="1" spans="1:21" ht="23.25" x14ac:dyDescent="0.35">
      <c r="A1" s="29" t="s">
        <v>0</v>
      </c>
      <c r="B1" s="30"/>
      <c r="C1" s="30"/>
      <c r="D1" s="30"/>
      <c r="E1" s="30"/>
      <c r="F1" s="30"/>
      <c r="G1" s="30"/>
      <c r="H1" s="30"/>
      <c r="I1" s="30"/>
      <c r="J1" s="30"/>
      <c r="K1" s="30"/>
      <c r="L1" s="30"/>
      <c r="M1" s="30"/>
      <c r="N1" s="30"/>
      <c r="O1" s="30"/>
      <c r="P1" s="30"/>
      <c r="Q1" s="30"/>
      <c r="R1" s="30"/>
      <c r="S1" s="30"/>
      <c r="T1" s="30"/>
      <c r="U1" s="30"/>
    </row>
    <row r="2" spans="1:21" ht="15.75" x14ac:dyDescent="0.25">
      <c r="A2" s="31" t="s">
        <v>1</v>
      </c>
      <c r="B2" s="32"/>
      <c r="C2" s="32"/>
      <c r="D2" s="32"/>
      <c r="E2" s="32"/>
      <c r="F2" s="32"/>
      <c r="G2" s="32"/>
      <c r="H2" s="32"/>
      <c r="I2" s="32"/>
      <c r="J2" s="32"/>
      <c r="K2" s="32"/>
      <c r="L2" s="32"/>
      <c r="M2" s="32"/>
      <c r="N2" s="32"/>
      <c r="O2" s="32"/>
      <c r="P2" s="32"/>
      <c r="Q2" s="32"/>
      <c r="R2" s="32"/>
      <c r="S2" s="32"/>
      <c r="T2" s="32"/>
      <c r="U2" s="32"/>
    </row>
    <row r="3" spans="1:21" ht="16.5" thickBot="1" x14ac:dyDescent="0.3">
      <c r="A3" s="33" t="s">
        <v>2</v>
      </c>
      <c r="B3" s="34"/>
      <c r="C3" s="34"/>
      <c r="D3" s="34"/>
      <c r="E3" s="34"/>
      <c r="F3" s="34"/>
      <c r="G3" s="34"/>
      <c r="H3" s="34"/>
      <c r="I3" s="34"/>
      <c r="J3" s="34"/>
      <c r="K3" s="34"/>
      <c r="L3" s="34"/>
      <c r="M3" s="34"/>
      <c r="N3" s="34"/>
      <c r="O3" s="34"/>
      <c r="P3" s="34"/>
      <c r="Q3" s="34"/>
      <c r="R3" s="34"/>
      <c r="S3" s="34"/>
      <c r="T3" s="34"/>
      <c r="U3" s="34"/>
    </row>
    <row r="4" spans="1:21" ht="15" customHeight="1" thickTop="1" x14ac:dyDescent="0.25">
      <c r="A4" s="17"/>
      <c r="B4" s="17"/>
      <c r="C4" s="17"/>
      <c r="D4" s="17"/>
      <c r="E4" s="17"/>
      <c r="F4" s="17"/>
      <c r="G4" s="17"/>
      <c r="H4" s="17"/>
      <c r="I4" s="17"/>
      <c r="J4" s="17"/>
      <c r="K4" s="17"/>
      <c r="L4" s="17"/>
      <c r="M4" s="17"/>
      <c r="N4" s="17"/>
      <c r="O4" s="17"/>
      <c r="P4" s="17"/>
      <c r="Q4" s="17"/>
      <c r="R4" s="17"/>
      <c r="S4" s="17"/>
      <c r="T4" s="17"/>
      <c r="U4" s="17"/>
    </row>
    <row r="5" spans="1:21" ht="15" customHeight="1" x14ac:dyDescent="0.25">
      <c r="A5" s="17"/>
      <c r="B5" s="17"/>
      <c r="C5" s="17"/>
      <c r="D5" s="17"/>
      <c r="E5" s="17"/>
      <c r="F5" s="17"/>
      <c r="G5" s="17"/>
      <c r="H5" s="17"/>
      <c r="I5" s="17"/>
      <c r="J5" s="17"/>
      <c r="K5" s="17"/>
      <c r="L5" s="17"/>
      <c r="M5" s="17"/>
      <c r="N5" s="17"/>
      <c r="O5" s="17"/>
      <c r="P5" s="17"/>
      <c r="Q5" s="17"/>
      <c r="R5" s="17"/>
      <c r="S5" s="17"/>
      <c r="T5" s="17"/>
      <c r="U5" s="17"/>
    </row>
    <row r="6" spans="1:21" x14ac:dyDescent="0.25">
      <c r="A6" s="20" t="s">
        <v>3</v>
      </c>
      <c r="B6" s="20" t="s">
        <v>4</v>
      </c>
      <c r="C6" s="20" t="s">
        <v>5</v>
      </c>
      <c r="D6" s="20" t="s">
        <v>6</v>
      </c>
      <c r="E6" s="17"/>
      <c r="F6" s="17"/>
      <c r="G6" s="18"/>
      <c r="H6"/>
      <c r="I6"/>
      <c r="J6"/>
      <c r="K6"/>
      <c r="L6"/>
      <c r="M6"/>
      <c r="N6"/>
      <c r="O6"/>
      <c r="P6"/>
      <c r="Q6"/>
      <c r="R6"/>
      <c r="S6"/>
      <c r="T6"/>
      <c r="U6"/>
    </row>
    <row r="7" spans="1:21" x14ac:dyDescent="0.25">
      <c r="A7" s="16" t="s">
        <v>7</v>
      </c>
      <c r="B7" s="21">
        <v>800000</v>
      </c>
      <c r="C7" s="22">
        <v>2</v>
      </c>
      <c r="D7" s="22" t="s">
        <v>8</v>
      </c>
      <c r="E7" s="17"/>
      <c r="F7" s="17"/>
      <c r="G7" s="17"/>
      <c r="H7"/>
      <c r="I7"/>
      <c r="J7"/>
      <c r="K7"/>
      <c r="L7"/>
      <c r="M7"/>
      <c r="N7"/>
      <c r="O7"/>
      <c r="P7"/>
      <c r="Q7"/>
      <c r="R7"/>
      <c r="S7"/>
      <c r="T7"/>
      <c r="U7"/>
    </row>
    <row r="8" spans="1:21" x14ac:dyDescent="0.25">
      <c r="A8" s="16" t="s">
        <v>9</v>
      </c>
      <c r="B8" s="21">
        <v>1200000</v>
      </c>
      <c r="C8" s="22">
        <v>2</v>
      </c>
      <c r="D8" s="22" t="s">
        <v>10</v>
      </c>
      <c r="E8" s="17"/>
      <c r="F8" s="17"/>
      <c r="G8" s="17"/>
      <c r="H8"/>
      <c r="I8"/>
      <c r="J8"/>
      <c r="K8"/>
      <c r="L8"/>
      <c r="M8"/>
      <c r="N8"/>
      <c r="O8"/>
      <c r="P8"/>
      <c r="Q8"/>
      <c r="R8"/>
      <c r="S8"/>
      <c r="T8"/>
      <c r="U8"/>
    </row>
    <row r="9" spans="1:21" x14ac:dyDescent="0.25">
      <c r="A9" s="16" t="s">
        <v>11</v>
      </c>
      <c r="B9" s="21">
        <v>1800000</v>
      </c>
      <c r="C9" s="22">
        <v>2</v>
      </c>
      <c r="D9" s="22" t="s">
        <v>12</v>
      </c>
      <c r="E9" s="17"/>
      <c r="F9" s="17"/>
      <c r="G9" s="17"/>
      <c r="H9"/>
      <c r="I9"/>
      <c r="J9"/>
      <c r="K9"/>
      <c r="L9"/>
      <c r="M9"/>
      <c r="N9"/>
      <c r="O9"/>
      <c r="P9"/>
      <c r="Q9"/>
      <c r="R9"/>
      <c r="S9"/>
      <c r="T9"/>
      <c r="U9"/>
    </row>
    <row r="10" spans="1:21" x14ac:dyDescent="0.25">
      <c r="A10" s="16" t="s">
        <v>13</v>
      </c>
      <c r="B10" s="21">
        <v>2000000</v>
      </c>
      <c r="C10" s="22">
        <v>4</v>
      </c>
      <c r="D10" s="22" t="s">
        <v>14</v>
      </c>
      <c r="E10" s="17"/>
      <c r="F10" s="17"/>
      <c r="G10" s="17"/>
      <c r="H10"/>
      <c r="I10"/>
      <c r="J10"/>
      <c r="K10"/>
      <c r="L10"/>
      <c r="M10"/>
      <c r="N10"/>
      <c r="O10"/>
      <c r="P10"/>
      <c r="Q10"/>
      <c r="R10"/>
      <c r="S10"/>
      <c r="T10"/>
      <c r="U10"/>
    </row>
    <row r="11" spans="1:21" x14ac:dyDescent="0.25">
      <c r="A11" s="16" t="s">
        <v>15</v>
      </c>
      <c r="B11" s="21">
        <v>500000</v>
      </c>
      <c r="C11" s="22">
        <v>3</v>
      </c>
      <c r="D11" s="22" t="s">
        <v>16</v>
      </c>
      <c r="E11" s="17"/>
      <c r="F11" s="17"/>
      <c r="G11" s="17"/>
      <c r="H11"/>
      <c r="I11"/>
      <c r="J11"/>
      <c r="K11"/>
      <c r="L11"/>
      <c r="M11"/>
      <c r="N11"/>
      <c r="O11"/>
      <c r="P11"/>
      <c r="Q11"/>
      <c r="R11"/>
      <c r="S11"/>
      <c r="T11"/>
      <c r="U11"/>
    </row>
    <row r="12" spans="1:21" ht="15" customHeight="1" x14ac:dyDescent="0.25">
      <c r="A12" s="17"/>
      <c r="B12" s="17"/>
      <c r="C12" s="17"/>
      <c r="D12" s="17"/>
      <c r="E12" s="17"/>
      <c r="F12" s="17"/>
      <c r="G12" s="17"/>
      <c r="H12"/>
      <c r="I12"/>
      <c r="J12"/>
      <c r="K12"/>
      <c r="L12"/>
      <c r="M12"/>
      <c r="N12"/>
      <c r="O12"/>
      <c r="P12"/>
      <c r="Q12"/>
      <c r="R12"/>
      <c r="S12"/>
      <c r="T12"/>
      <c r="U12"/>
    </row>
    <row r="13" spans="1:21" ht="15" customHeight="1" x14ac:dyDescent="0.25">
      <c r="A13" s="17"/>
      <c r="B13" s="17"/>
      <c r="C13" s="17"/>
      <c r="D13" s="17"/>
      <c r="E13" s="17"/>
      <c r="F13" s="17"/>
      <c r="G13" s="17"/>
      <c r="H13"/>
      <c r="I13"/>
      <c r="J13"/>
      <c r="K13"/>
      <c r="L13"/>
      <c r="M13"/>
      <c r="N13"/>
      <c r="O13"/>
      <c r="P13"/>
      <c r="Q13"/>
      <c r="R13"/>
      <c r="S13"/>
      <c r="T13"/>
      <c r="U13"/>
    </row>
    <row r="14" spans="1:21" ht="15" customHeight="1" x14ac:dyDescent="0.25">
      <c r="A14" s="17"/>
      <c r="B14" s="17"/>
      <c r="C14" s="17"/>
      <c r="D14" s="17"/>
      <c r="E14" s="17"/>
      <c r="F14" s="17"/>
      <c r="G14" s="17"/>
      <c r="H14"/>
      <c r="I14"/>
      <c r="J14"/>
      <c r="K14"/>
      <c r="L14"/>
      <c r="M14"/>
      <c r="N14"/>
      <c r="O14"/>
      <c r="P14"/>
      <c r="Q14"/>
      <c r="R14"/>
      <c r="S14"/>
      <c r="T14"/>
      <c r="U14"/>
    </row>
    <row r="15" spans="1:21" ht="15" customHeight="1" x14ac:dyDescent="0.25">
      <c r="A15" s="17"/>
      <c r="B15" s="17"/>
      <c r="C15" s="17"/>
      <c r="D15" s="17"/>
      <c r="E15" s="17"/>
      <c r="F15" s="17"/>
      <c r="G15" s="17"/>
      <c r="H15"/>
      <c r="I15"/>
      <c r="J15"/>
      <c r="K15"/>
      <c r="L15"/>
      <c r="M15"/>
      <c r="N15"/>
      <c r="O15"/>
      <c r="P15"/>
      <c r="Q15"/>
      <c r="R15"/>
      <c r="S15"/>
      <c r="T15"/>
      <c r="U15"/>
    </row>
    <row r="16" spans="1:21" ht="15" customHeight="1" x14ac:dyDescent="0.25">
      <c r="A16" s="17"/>
      <c r="B16" s="17"/>
      <c r="C16" s="17"/>
      <c r="D16" s="17"/>
      <c r="E16" s="17"/>
      <c r="F16" s="17"/>
      <c r="G16" s="17"/>
      <c r="H16"/>
      <c r="I16"/>
      <c r="J16"/>
      <c r="K16"/>
      <c r="L16"/>
      <c r="M16"/>
      <c r="N16"/>
      <c r="O16"/>
      <c r="P16"/>
      <c r="Q16"/>
      <c r="R16"/>
      <c r="S16"/>
      <c r="T16"/>
      <c r="U16"/>
    </row>
    <row r="17" spans="1:21" ht="15" customHeight="1" x14ac:dyDescent="0.25">
      <c r="A17" s="17"/>
      <c r="B17" s="17"/>
      <c r="C17" s="17"/>
      <c r="D17" s="17"/>
      <c r="E17" s="17"/>
      <c r="F17" s="17"/>
      <c r="G17" s="17"/>
      <c r="H17"/>
      <c r="I17"/>
      <c r="J17"/>
      <c r="K17"/>
      <c r="L17"/>
      <c r="M17"/>
      <c r="N17"/>
      <c r="O17"/>
      <c r="P17"/>
      <c r="Q17"/>
      <c r="R17"/>
      <c r="S17"/>
      <c r="T17"/>
      <c r="U17"/>
    </row>
    <row r="18" spans="1:21" ht="15" customHeight="1" x14ac:dyDescent="0.25">
      <c r="A18" s="17"/>
      <c r="B18" s="17"/>
      <c r="C18" s="17"/>
      <c r="D18" s="17"/>
      <c r="E18" s="17"/>
      <c r="F18" s="17"/>
      <c r="G18" s="17"/>
      <c r="H18"/>
      <c r="I18"/>
      <c r="J18"/>
      <c r="K18"/>
      <c r="L18"/>
      <c r="M18"/>
      <c r="N18"/>
      <c r="O18"/>
      <c r="P18"/>
      <c r="Q18"/>
      <c r="R18"/>
      <c r="S18"/>
      <c r="T18"/>
      <c r="U18"/>
    </row>
    <row r="19" spans="1:21" ht="15" customHeight="1" x14ac:dyDescent="0.25">
      <c r="A19" s="17"/>
      <c r="B19" s="17"/>
      <c r="C19" s="17"/>
      <c r="D19" s="17"/>
      <c r="E19" s="17"/>
      <c r="F19" s="17"/>
      <c r="G19" s="17"/>
      <c r="H19"/>
      <c r="I19"/>
      <c r="J19"/>
      <c r="K19"/>
      <c r="L19"/>
      <c r="M19"/>
      <c r="N19"/>
      <c r="O19"/>
      <c r="P19"/>
      <c r="Q19"/>
      <c r="R19"/>
      <c r="S19"/>
      <c r="T19"/>
      <c r="U19"/>
    </row>
    <row r="20" spans="1:21" ht="15" customHeight="1" x14ac:dyDescent="0.25">
      <c r="A20" s="17"/>
      <c r="B20" s="17"/>
      <c r="C20" s="17"/>
      <c r="D20" s="17"/>
      <c r="E20" s="17"/>
      <c r="F20" s="17"/>
      <c r="G20" s="17"/>
      <c r="H20"/>
      <c r="I20"/>
      <c r="J20"/>
      <c r="K20"/>
      <c r="L20"/>
      <c r="M20"/>
      <c r="N20"/>
      <c r="O20"/>
      <c r="P20"/>
      <c r="Q20"/>
      <c r="R20"/>
      <c r="S20"/>
      <c r="T20"/>
      <c r="U20"/>
    </row>
    <row r="21" spans="1:21" ht="15.75" customHeight="1" x14ac:dyDescent="0.25">
      <c r="A21" s="17"/>
      <c r="B21" s="17"/>
      <c r="C21" s="17"/>
      <c r="D21" s="17"/>
      <c r="E21" s="17"/>
      <c r="F21" s="17"/>
      <c r="G21" s="17"/>
      <c r="H21" s="3"/>
      <c r="I21" s="3"/>
      <c r="J21"/>
      <c r="K21"/>
      <c r="L21"/>
      <c r="M21"/>
      <c r="N21"/>
      <c r="O21"/>
      <c r="P21"/>
      <c r="Q21"/>
      <c r="R21"/>
      <c r="S21"/>
      <c r="T21"/>
      <c r="U21"/>
    </row>
    <row r="22" spans="1:21" ht="15.75" customHeight="1" x14ac:dyDescent="0.25">
      <c r="A22" s="17"/>
      <c r="B22" s="17"/>
      <c r="C22" s="17"/>
      <c r="D22" s="17"/>
      <c r="E22" s="17"/>
      <c r="F22" s="17"/>
      <c r="G22" s="17"/>
      <c r="H22" s="3"/>
      <c r="I22" s="3"/>
      <c r="J22"/>
      <c r="K22"/>
      <c r="L22"/>
      <c r="M22"/>
      <c r="N22"/>
      <c r="O22"/>
      <c r="P22"/>
      <c r="Q22"/>
      <c r="R22"/>
      <c r="S22"/>
      <c r="T22"/>
      <c r="U22"/>
    </row>
    <row r="23" spans="1:21" ht="15.75" customHeight="1" x14ac:dyDescent="0.25">
      <c r="A23" s="17"/>
      <c r="B23" s="17"/>
      <c r="C23" s="17"/>
      <c r="D23" s="17"/>
      <c r="E23" s="17"/>
      <c r="F23" s="17"/>
      <c r="G23" s="17"/>
      <c r="H23" s="3"/>
      <c r="I23" s="3"/>
      <c r="J23"/>
      <c r="K23"/>
      <c r="L23"/>
      <c r="M23"/>
      <c r="N23"/>
      <c r="O23"/>
      <c r="P23"/>
      <c r="Q23"/>
      <c r="R23"/>
      <c r="S23"/>
      <c r="T23"/>
      <c r="U23"/>
    </row>
    <row r="24" spans="1:21" ht="15.75" customHeight="1" x14ac:dyDescent="0.25">
      <c r="A24" s="17"/>
      <c r="B24" s="17"/>
      <c r="C24" s="17"/>
      <c r="D24" s="17"/>
      <c r="E24" s="17"/>
      <c r="F24" s="17"/>
      <c r="G24" s="17"/>
      <c r="H24" s="3"/>
      <c r="I24" s="3"/>
      <c r="J24"/>
      <c r="K24"/>
      <c r="L24"/>
      <c r="M24"/>
      <c r="N24"/>
      <c r="O24"/>
      <c r="P24"/>
      <c r="Q24"/>
      <c r="R24"/>
      <c r="S24"/>
      <c r="T24"/>
      <c r="U24"/>
    </row>
    <row r="25" spans="1:21" ht="15.75" customHeight="1" x14ac:dyDescent="0.25">
      <c r="A25" s="17"/>
      <c r="B25" s="17"/>
      <c r="C25" s="17"/>
      <c r="D25" s="17"/>
      <c r="E25" s="17"/>
      <c r="F25" s="17"/>
      <c r="G25" s="17"/>
      <c r="H25" s="3"/>
      <c r="I25" s="3"/>
      <c r="J25"/>
      <c r="K25"/>
      <c r="L25"/>
      <c r="M25"/>
      <c r="N25"/>
      <c r="O25"/>
      <c r="P25"/>
      <c r="Q25"/>
      <c r="R25"/>
      <c r="S25"/>
      <c r="T25"/>
      <c r="U25"/>
    </row>
    <row r="26" spans="1:21" ht="15.75" customHeight="1" x14ac:dyDescent="0.25">
      <c r="A26" s="17"/>
      <c r="B26" s="17"/>
      <c r="C26" s="17"/>
      <c r="D26" s="17"/>
      <c r="E26" s="17"/>
      <c r="F26" s="17"/>
      <c r="G26" s="17"/>
      <c r="H26" s="3"/>
      <c r="I26" s="3"/>
      <c r="J26"/>
      <c r="K26"/>
      <c r="L26"/>
      <c r="M26"/>
      <c r="N26"/>
      <c r="O26"/>
      <c r="P26"/>
      <c r="Q26"/>
      <c r="R26"/>
      <c r="S26"/>
      <c r="T26"/>
      <c r="U26"/>
    </row>
    <row r="27" spans="1:21" ht="15.75" customHeight="1" x14ac:dyDescent="0.25">
      <c r="A27" s="17"/>
      <c r="B27" s="17"/>
      <c r="C27" s="17"/>
      <c r="D27" s="17"/>
      <c r="E27" s="17"/>
      <c r="F27" s="17"/>
      <c r="G27" s="17"/>
      <c r="H27" s="3"/>
      <c r="I27" s="3"/>
      <c r="J27"/>
      <c r="K27"/>
      <c r="L27"/>
      <c r="M27"/>
      <c r="N27"/>
      <c r="O27"/>
      <c r="P27"/>
      <c r="Q27"/>
      <c r="R27"/>
      <c r="S27"/>
      <c r="T27"/>
      <c r="U27"/>
    </row>
    <row r="28" spans="1:21" ht="15.75" customHeight="1" x14ac:dyDescent="0.25">
      <c r="A28" s="17"/>
      <c r="B28" s="17"/>
      <c r="C28" s="17"/>
      <c r="D28" s="17"/>
      <c r="E28" s="17"/>
      <c r="F28" s="17"/>
      <c r="G28" s="17"/>
      <c r="H28" s="3"/>
      <c r="I28" s="3"/>
      <c r="J28"/>
      <c r="K28"/>
      <c r="L28"/>
      <c r="M28"/>
      <c r="N28"/>
      <c r="O28"/>
      <c r="P28"/>
      <c r="Q28"/>
      <c r="R28"/>
      <c r="S28"/>
      <c r="T28"/>
      <c r="U28"/>
    </row>
    <row r="29" spans="1:21" ht="15.75" customHeight="1" x14ac:dyDescent="0.25">
      <c r="A29" s="17"/>
      <c r="B29" s="17"/>
      <c r="C29" s="17"/>
      <c r="D29" s="17"/>
      <c r="E29" s="17"/>
      <c r="F29" s="17"/>
      <c r="G29" s="17"/>
      <c r="H29"/>
      <c r="I29"/>
      <c r="J29"/>
      <c r="K29"/>
      <c r="L29"/>
      <c r="M29"/>
      <c r="N29"/>
      <c r="O29"/>
      <c r="P29"/>
      <c r="Q29"/>
      <c r="R29"/>
      <c r="S29"/>
      <c r="T29"/>
      <c r="U29"/>
    </row>
    <row r="30" spans="1:21" ht="15.75" customHeight="1" x14ac:dyDescent="0.25">
      <c r="A30" s="17"/>
      <c r="B30" s="17"/>
      <c r="C30" s="17"/>
      <c r="D30" s="17"/>
      <c r="E30" s="17"/>
      <c r="F30" s="17"/>
      <c r="G30" s="17"/>
      <c r="H30"/>
      <c r="I30"/>
      <c r="J30"/>
      <c r="K30"/>
      <c r="L30"/>
      <c r="M30"/>
      <c r="N30"/>
      <c r="O30"/>
      <c r="P30"/>
      <c r="Q30"/>
      <c r="R30"/>
      <c r="S30"/>
      <c r="T30"/>
      <c r="U30"/>
    </row>
    <row r="31" spans="1:21" ht="15.75" customHeight="1" x14ac:dyDescent="0.25">
      <c r="A31" s="17"/>
      <c r="B31" s="17"/>
      <c r="C31" s="17"/>
      <c r="D31" s="17"/>
      <c r="E31" s="17"/>
      <c r="F31" s="17"/>
      <c r="G31" s="17"/>
      <c r="H31"/>
      <c r="I31"/>
      <c r="J31"/>
      <c r="K31"/>
      <c r="L31"/>
      <c r="M31"/>
      <c r="N31"/>
      <c r="O31"/>
      <c r="P31"/>
      <c r="Q31"/>
      <c r="R31"/>
      <c r="S31"/>
      <c r="T31"/>
      <c r="U31"/>
    </row>
    <row r="32" spans="1:21" ht="15.75" customHeight="1" x14ac:dyDescent="0.25">
      <c r="A32" s="17"/>
      <c r="B32" s="17"/>
      <c r="C32" s="17"/>
      <c r="D32" s="17"/>
      <c r="E32" s="17"/>
      <c r="F32" s="17"/>
      <c r="G32" s="17"/>
      <c r="H32"/>
      <c r="I32"/>
      <c r="J32"/>
      <c r="K32"/>
      <c r="L32"/>
      <c r="M32"/>
      <c r="N32"/>
      <c r="O32"/>
      <c r="P32"/>
      <c r="Q32"/>
      <c r="R32"/>
      <c r="S32"/>
      <c r="T32"/>
      <c r="U32"/>
    </row>
    <row r="33" spans="1:21" ht="15.75" customHeight="1" x14ac:dyDescent="0.25">
      <c r="A33" s="17"/>
      <c r="B33" s="17"/>
      <c r="C33" s="17"/>
      <c r="D33" s="17"/>
      <c r="E33" s="17"/>
      <c r="F33" s="17"/>
      <c r="G33" s="17"/>
      <c r="H33"/>
      <c r="I33"/>
      <c r="J33"/>
      <c r="K33"/>
      <c r="L33"/>
      <c r="M33"/>
      <c r="N33"/>
      <c r="O33"/>
      <c r="P33"/>
      <c r="Q33"/>
      <c r="R33"/>
      <c r="S33"/>
      <c r="T33"/>
      <c r="U33"/>
    </row>
    <row r="34" spans="1:21" ht="15.75" customHeight="1" x14ac:dyDescent="0.25">
      <c r="A34" s="17"/>
      <c r="B34" s="17"/>
      <c r="C34" s="17"/>
      <c r="D34" s="17"/>
      <c r="E34" s="17"/>
      <c r="F34" s="17"/>
      <c r="G34" s="17"/>
      <c r="H34"/>
      <c r="I34"/>
      <c r="J34"/>
      <c r="K34"/>
      <c r="L34"/>
      <c r="M34"/>
      <c r="N34"/>
      <c r="O34"/>
      <c r="P34"/>
      <c r="Q34"/>
      <c r="R34"/>
      <c r="S34"/>
      <c r="T34"/>
      <c r="U34"/>
    </row>
    <row r="35" spans="1:21" ht="15.75" customHeight="1" x14ac:dyDescent="0.25">
      <c r="A35" s="17"/>
      <c r="B35" s="17"/>
      <c r="C35" s="17"/>
      <c r="D35" s="17"/>
      <c r="E35" s="17"/>
      <c r="F35" s="17"/>
      <c r="G35" s="17"/>
      <c r="H35"/>
      <c r="I35"/>
      <c r="J35"/>
      <c r="K35"/>
      <c r="L35"/>
      <c r="M35"/>
      <c r="N35"/>
      <c r="O35"/>
      <c r="P35"/>
      <c r="Q35"/>
      <c r="R35"/>
      <c r="S35"/>
      <c r="T35"/>
      <c r="U35"/>
    </row>
    <row r="36" spans="1:21" ht="15.75" customHeight="1" x14ac:dyDescent="0.25">
      <c r="A36" s="17"/>
      <c r="B36" s="17"/>
      <c r="C36" s="17"/>
      <c r="D36" s="17"/>
      <c r="E36" s="17"/>
      <c r="F36" s="17"/>
      <c r="G36" s="17"/>
      <c r="H36"/>
      <c r="I36"/>
      <c r="J36"/>
      <c r="K36"/>
      <c r="L36"/>
      <c r="M36"/>
      <c r="N36"/>
      <c r="O36"/>
      <c r="P36"/>
      <c r="Q36"/>
      <c r="R36"/>
      <c r="S36"/>
      <c r="T36"/>
      <c r="U36"/>
    </row>
    <row r="37" spans="1:21" ht="15.75" customHeight="1" x14ac:dyDescent="0.25">
      <c r="A37" s="17"/>
      <c r="B37" s="17"/>
      <c r="C37" s="17"/>
      <c r="D37" s="17"/>
      <c r="E37" s="17"/>
      <c r="F37" s="17"/>
      <c r="G37" s="17"/>
      <c r="H37"/>
      <c r="I37"/>
      <c r="J37"/>
      <c r="K37"/>
      <c r="L37"/>
      <c r="M37"/>
      <c r="N37"/>
      <c r="O37"/>
      <c r="P37"/>
      <c r="Q37"/>
      <c r="R37"/>
      <c r="S37"/>
      <c r="T37"/>
      <c r="U37"/>
    </row>
    <row r="38" spans="1:21" ht="15.75" customHeight="1" x14ac:dyDescent="0.25">
      <c r="A38" s="17"/>
      <c r="B38" s="17"/>
      <c r="C38" s="17"/>
      <c r="D38" s="17"/>
      <c r="E38" s="17"/>
      <c r="F38" s="17"/>
      <c r="G38" s="17"/>
      <c r="H38"/>
      <c r="I38"/>
      <c r="J38"/>
      <c r="K38"/>
      <c r="L38"/>
      <c r="M38"/>
      <c r="N38"/>
      <c r="O38"/>
      <c r="P38"/>
      <c r="Q38"/>
      <c r="R38"/>
      <c r="S38"/>
      <c r="T38"/>
      <c r="U38"/>
    </row>
    <row r="39" spans="1:21" ht="15.75" customHeight="1" x14ac:dyDescent="0.25">
      <c r="A39" s="17"/>
      <c r="B39" s="17"/>
      <c r="C39" s="17"/>
      <c r="D39" s="17"/>
      <c r="E39" s="17"/>
      <c r="F39" s="17"/>
      <c r="G39" s="17"/>
      <c r="H39"/>
      <c r="I39"/>
      <c r="J39"/>
      <c r="K39"/>
      <c r="L39"/>
      <c r="M39"/>
      <c r="N39"/>
      <c r="O39"/>
      <c r="P39"/>
      <c r="Q39"/>
      <c r="R39"/>
      <c r="S39"/>
      <c r="T39"/>
      <c r="U39"/>
    </row>
    <row r="40" spans="1:21" ht="15.75" customHeight="1" x14ac:dyDescent="0.25">
      <c r="A40" s="17"/>
      <c r="B40" s="17"/>
      <c r="C40" s="17"/>
      <c r="D40" s="17"/>
      <c r="E40" s="17"/>
      <c r="F40" s="17"/>
      <c r="G40" s="17"/>
      <c r="H40"/>
      <c r="I40"/>
      <c r="J40"/>
      <c r="K40"/>
      <c r="L40"/>
      <c r="M40"/>
      <c r="N40"/>
      <c r="O40"/>
      <c r="P40"/>
      <c r="Q40"/>
      <c r="R40"/>
      <c r="S40"/>
      <c r="T40"/>
      <c r="U40"/>
    </row>
    <row r="41" spans="1:21" ht="15.75" customHeight="1" x14ac:dyDescent="0.25">
      <c r="A41" s="17"/>
      <c r="B41" s="17"/>
      <c r="C41" s="17"/>
      <c r="D41" s="17"/>
      <c r="E41" s="17"/>
      <c r="F41" s="17"/>
      <c r="G41" s="17"/>
      <c r="H41"/>
      <c r="I41"/>
      <c r="J41"/>
      <c r="K41"/>
      <c r="L41"/>
      <c r="M41"/>
      <c r="N41"/>
      <c r="O41"/>
      <c r="P41"/>
      <c r="Q41"/>
      <c r="R41"/>
      <c r="S41"/>
      <c r="T41"/>
      <c r="U41"/>
    </row>
    <row r="42" spans="1:21" ht="15.75" customHeight="1" x14ac:dyDescent="0.25">
      <c r="A42" s="17"/>
      <c r="B42" s="17"/>
      <c r="C42" s="17"/>
      <c r="D42" s="17"/>
      <c r="E42" s="17"/>
      <c r="F42" s="17"/>
      <c r="G42" s="17"/>
      <c r="H42"/>
      <c r="I42"/>
      <c r="J42"/>
      <c r="K42"/>
      <c r="L42"/>
      <c r="M42"/>
      <c r="N42"/>
      <c r="O42"/>
      <c r="P42"/>
      <c r="Q42"/>
      <c r="R42"/>
      <c r="S42"/>
      <c r="T42"/>
      <c r="U42"/>
    </row>
    <row r="43" spans="1:21" ht="15.75" customHeight="1" x14ac:dyDescent="0.25">
      <c r="A43" s="17"/>
      <c r="B43" s="17"/>
      <c r="C43" s="17"/>
      <c r="D43" s="17"/>
      <c r="E43" s="17"/>
      <c r="F43" s="17"/>
      <c r="G43" s="17"/>
      <c r="H43"/>
      <c r="I43"/>
      <c r="J43"/>
      <c r="K43"/>
      <c r="L43"/>
      <c r="M43"/>
      <c r="N43"/>
      <c r="O43"/>
      <c r="P43"/>
      <c r="Q43"/>
      <c r="R43"/>
      <c r="S43"/>
      <c r="T43"/>
      <c r="U43"/>
    </row>
    <row r="44" spans="1:21" ht="15.75" customHeight="1" x14ac:dyDescent="0.25">
      <c r="A44" s="17"/>
      <c r="B44" s="17"/>
      <c r="C44" s="17"/>
      <c r="D44" s="17"/>
      <c r="E44" s="17"/>
      <c r="F44" s="17"/>
      <c r="G44" s="17"/>
      <c r="H44"/>
      <c r="I44"/>
      <c r="J44"/>
      <c r="K44"/>
      <c r="L44"/>
      <c r="M44"/>
      <c r="N44"/>
      <c r="O44"/>
      <c r="P44"/>
      <c r="Q44"/>
      <c r="R44"/>
      <c r="S44"/>
      <c r="T44"/>
      <c r="U44"/>
    </row>
    <row r="45" spans="1:21" ht="15.75" customHeight="1" x14ac:dyDescent="0.25"/>
    <row r="46" spans="1:21" ht="15.75" customHeight="1" x14ac:dyDescent="0.25"/>
    <row r="47" spans="1:21" ht="15.75" customHeight="1" x14ac:dyDescent="0.25"/>
    <row r="48" spans="1:2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U1"/>
    <mergeCell ref="A2:U2"/>
    <mergeCell ref="A3:U3"/>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9"/>
  <sheetViews>
    <sheetView showGridLines="0" zoomScale="74" zoomScaleNormal="75" workbookViewId="0">
      <pane xSplit="4" ySplit="6" topLeftCell="K7" activePane="bottomRight" state="frozen"/>
      <selection pane="topRight" activeCell="E1" sqref="E1"/>
      <selection pane="bottomLeft" activeCell="A8" sqref="A8"/>
      <selection pane="bottomRight" activeCell="H10" sqref="H10"/>
    </sheetView>
  </sheetViews>
  <sheetFormatPr defaultColWidth="14.42578125" defaultRowHeight="15" customHeight="1" x14ac:dyDescent="0.25"/>
  <cols>
    <col min="1" max="1" width="8.7109375" customWidth="1"/>
    <col min="2" max="2" width="22.28515625" bestFit="1" customWidth="1"/>
    <col min="3" max="3" width="19.42578125" bestFit="1" customWidth="1"/>
    <col min="4" max="4" width="32.140625" bestFit="1" customWidth="1"/>
    <col min="5" max="5" width="17.42578125" customWidth="1"/>
    <col min="6" max="6" width="19.7109375" customWidth="1"/>
    <col min="7" max="7" width="17.140625" bestFit="1" customWidth="1"/>
    <col min="8" max="8" width="20.7109375" style="14" customWidth="1"/>
    <col min="9" max="9" width="22.42578125" style="14" customWidth="1"/>
    <col min="10" max="10" width="18" customWidth="1"/>
    <col min="11" max="11" width="15.42578125" customWidth="1"/>
    <col min="12" max="12" width="15.140625" bestFit="1" customWidth="1"/>
    <col min="13" max="13" width="20.42578125" style="26" customWidth="1"/>
    <col min="14" max="14" width="21.42578125" customWidth="1"/>
    <col min="15" max="15" width="13.7109375" style="26" customWidth="1"/>
    <col min="16" max="16" width="22" style="14" customWidth="1"/>
    <col min="17" max="17" width="23.140625" customWidth="1"/>
    <col min="18" max="18" width="20.140625" style="14" customWidth="1"/>
    <col min="19" max="19" width="17.5703125" style="14" customWidth="1"/>
    <col min="20" max="20" width="24.140625" customWidth="1"/>
    <col min="21" max="21" width="22.7109375" customWidth="1"/>
    <col min="22" max="22" width="23.140625" customWidth="1"/>
    <col min="23" max="26" width="8.7109375" customWidth="1"/>
  </cols>
  <sheetData>
    <row r="1" spans="1:22" s="15" customFormat="1" ht="23.25" customHeight="1" x14ac:dyDescent="0.35">
      <c r="A1" s="35" t="s">
        <v>0</v>
      </c>
      <c r="B1" s="36"/>
      <c r="C1" s="36"/>
      <c r="D1" s="36"/>
      <c r="E1" s="36"/>
      <c r="F1" s="36"/>
      <c r="G1" s="36"/>
      <c r="H1" s="36"/>
      <c r="I1" s="36"/>
      <c r="J1" s="36"/>
      <c r="K1" s="36"/>
      <c r="L1" s="36"/>
      <c r="M1" s="36"/>
      <c r="N1" s="36"/>
      <c r="O1" s="36"/>
      <c r="P1" s="36"/>
      <c r="Q1" s="36"/>
      <c r="R1" s="36"/>
      <c r="S1" s="36"/>
      <c r="T1" s="36"/>
      <c r="U1" s="36"/>
      <c r="V1" s="36"/>
    </row>
    <row r="2" spans="1:22" ht="15" customHeight="1" x14ac:dyDescent="0.25">
      <c r="A2" s="37" t="s">
        <v>1</v>
      </c>
      <c r="B2" s="38"/>
      <c r="C2" s="38"/>
      <c r="D2" s="38"/>
      <c r="E2" s="38"/>
      <c r="F2" s="38"/>
      <c r="G2" s="38"/>
      <c r="H2" s="38"/>
      <c r="I2" s="38"/>
      <c r="J2" s="38"/>
      <c r="K2" s="38"/>
      <c r="L2" s="38"/>
      <c r="M2" s="38"/>
      <c r="N2" s="38"/>
      <c r="O2" s="38"/>
      <c r="P2" s="38"/>
      <c r="Q2" s="38"/>
      <c r="R2" s="38"/>
      <c r="S2" s="38"/>
      <c r="T2" s="38"/>
      <c r="U2" s="38"/>
      <c r="V2" s="38"/>
    </row>
    <row r="3" spans="1:22" ht="15" customHeight="1" thickBot="1" x14ac:dyDescent="0.3">
      <c r="A3" s="39" t="s">
        <v>2</v>
      </c>
      <c r="B3" s="40"/>
      <c r="C3" s="40"/>
      <c r="D3" s="40"/>
      <c r="E3" s="40"/>
      <c r="F3" s="40"/>
      <c r="G3" s="40"/>
      <c r="H3" s="40"/>
      <c r="I3" s="40"/>
      <c r="J3" s="40"/>
      <c r="K3" s="40"/>
      <c r="L3" s="40"/>
      <c r="M3" s="40"/>
      <c r="N3" s="40"/>
      <c r="O3" s="40"/>
      <c r="P3" s="40"/>
      <c r="Q3" s="40"/>
      <c r="R3" s="40"/>
      <c r="S3" s="40"/>
      <c r="T3" s="40"/>
      <c r="U3" s="40"/>
      <c r="V3" s="40"/>
    </row>
    <row r="4" spans="1:22" ht="15" customHeight="1" thickTop="1" x14ac:dyDescent="0.25">
      <c r="A4" s="1"/>
      <c r="H4"/>
      <c r="I4"/>
      <c r="P4"/>
      <c r="R4"/>
      <c r="S4"/>
    </row>
    <row r="5" spans="1:22" ht="15" customHeight="1" x14ac:dyDescent="0.25">
      <c r="A5" s="12"/>
      <c r="B5" s="13"/>
      <c r="E5" s="4"/>
      <c r="F5" s="4"/>
      <c r="G5" s="5"/>
      <c r="H5" s="4"/>
      <c r="I5"/>
      <c r="K5" s="4"/>
      <c r="L5" s="4"/>
      <c r="M5" s="28"/>
      <c r="N5" s="4"/>
      <c r="P5"/>
      <c r="R5"/>
      <c r="S5"/>
    </row>
    <row r="6" spans="1:22" ht="15" customHeight="1" x14ac:dyDescent="0.25">
      <c r="A6" s="43" t="s">
        <v>17</v>
      </c>
      <c r="B6" s="44" t="s">
        <v>18</v>
      </c>
      <c r="C6" s="44" t="s">
        <v>19</v>
      </c>
      <c r="D6" s="44" t="s">
        <v>20</v>
      </c>
      <c r="E6" s="44" t="s">
        <v>21</v>
      </c>
      <c r="F6" s="44" t="s">
        <v>22</v>
      </c>
      <c r="G6" s="44" t="s">
        <v>23</v>
      </c>
      <c r="H6" s="44" t="s">
        <v>24</v>
      </c>
      <c r="I6" s="44" t="s">
        <v>25</v>
      </c>
      <c r="J6" s="44" t="s">
        <v>26</v>
      </c>
      <c r="K6" s="44" t="s">
        <v>6</v>
      </c>
      <c r="L6" s="44" t="s">
        <v>3</v>
      </c>
      <c r="M6" s="44" t="s">
        <v>5</v>
      </c>
      <c r="N6" s="44" t="s">
        <v>4</v>
      </c>
      <c r="O6" s="44" t="s">
        <v>27</v>
      </c>
      <c r="P6" s="44" t="s">
        <v>28</v>
      </c>
      <c r="Q6" s="44" t="s">
        <v>29</v>
      </c>
      <c r="R6" s="44" t="s">
        <v>30</v>
      </c>
      <c r="S6" s="44" t="s">
        <v>31</v>
      </c>
      <c r="T6" s="44" t="s">
        <v>32</v>
      </c>
      <c r="U6" s="45" t="s">
        <v>34</v>
      </c>
      <c r="V6" s="46" t="s">
        <v>33</v>
      </c>
    </row>
    <row r="7" spans="1:22" ht="15" customHeight="1" x14ac:dyDescent="0.25">
      <c r="A7" s="41">
        <v>1</v>
      </c>
      <c r="B7" s="7" t="s">
        <v>35</v>
      </c>
      <c r="C7" s="7" t="s">
        <v>36</v>
      </c>
      <c r="D7" s="7" t="s">
        <v>37</v>
      </c>
      <c r="E7" s="2" t="str">
        <f>IF(LEFT(B7,1)="K","KTP","Paspor")</f>
        <v>KTP</v>
      </c>
      <c r="F7" s="2" t="str">
        <f>_xlfn.IFS(MID(B7,3,2)="BO","Booking Online",MID(B7,3,2)="WI","Walk-in",TRUE,"Booking via Telepon")</f>
        <v>Booking Online</v>
      </c>
      <c r="G7" s="9" t="str">
        <f>IF(MID(B7,15,1)="S","Staycation",IF(MID(B7,15,1)="T","Travelers","Perjalanan Bisnis"))</f>
        <v>Staycation</v>
      </c>
      <c r="H7" s="23">
        <f>DATEVALUE(MID(B7,6,8))</f>
        <v>45778</v>
      </c>
      <c r="I7" s="23">
        <f>_xlfn.IFS(G7="Staycation",H7+3,G7="Walk-in",H7+3,G7="Perjalanan Bisnis",H7+5,TRUE,H7+2)</f>
        <v>45781</v>
      </c>
      <c r="J7" s="6">
        <v>2</v>
      </c>
      <c r="K7" s="2" t="str">
        <f>RIGHT(B7,4)</f>
        <v>KMR1</v>
      </c>
      <c r="L7" s="2" t="str">
        <f>INDEX(Master_Data!$A$7:$A$11,MATCH(Reservation_Log!K7,Master_Data!$D$7:$D$11,0))</f>
        <v>Standard Room</v>
      </c>
      <c r="M7" s="27">
        <f>INDEX(Master_Data!$C$7:$C$11,MATCH(Reservation_Log!K7,Master_Data!$D$7:$D$11,0))</f>
        <v>2</v>
      </c>
      <c r="N7" s="24">
        <f>INDEX(Master_Data!$B$7:$B$11,MATCH(Reservation_Log!K7,Master_Data!$D$7:$D$11,0))</f>
        <v>800000</v>
      </c>
      <c r="O7" s="27" t="str">
        <f>I7-H7&amp;" hari"</f>
        <v>3 hari</v>
      </c>
      <c r="P7" s="25">
        <f>N7*SUBSTITUTE(O7," hari","")</f>
        <v>2400000</v>
      </c>
      <c r="Q7" s="11" t="s">
        <v>127</v>
      </c>
      <c r="R7" s="24">
        <f>_xlfn.IFS(Q7="Sarapan",75000,Q7="Box Bayi",150000,Q7="Layanan Antar-Jemput",200000,Q7="Laundry",50000,Q7="Paket Spa &amp; Pijat",300000,TRUE,0)</f>
        <v>75000</v>
      </c>
      <c r="S7" s="25">
        <f>P7+R7</f>
        <v>2475000</v>
      </c>
      <c r="T7" s="2" t="str">
        <f>_xlfn.IFS(F7="Booking Online","TF/VA/Kartu Kredit",F7="Walk-in","Tunai/Kartu Kredit/Debit",TRUE,"TF/Tunai")</f>
        <v>TF/VA/Kartu Kredit</v>
      </c>
      <c r="U7" s="2" t="str">
        <f ca="1">_xlfn.IFS(I7&lt;TODAY(),"sudah check out",I7&gt;TODAY(),"belum datang",TRUE,"sedang menginap ")</f>
        <v>sudah check out</v>
      </c>
      <c r="V7" s="42" t="str">
        <f ca="1">IF(AND(T7="Tunai/Kartu Kredit/Debit",U7="belum datang"),"Belum lunas","Lunas")</f>
        <v>Lunas</v>
      </c>
    </row>
    <row r="8" spans="1:22" ht="15" customHeight="1" x14ac:dyDescent="0.25">
      <c r="A8" s="41">
        <v>2</v>
      </c>
      <c r="B8" s="7" t="s">
        <v>38</v>
      </c>
      <c r="C8" s="7" t="s">
        <v>39</v>
      </c>
      <c r="D8" s="7" t="s">
        <v>40</v>
      </c>
      <c r="E8" s="2" t="str">
        <f t="shared" ref="E8:E36" si="0">IF(LEFT(B8,1)="K","KTP","Paspor")</f>
        <v>KTP</v>
      </c>
      <c r="F8" s="2" t="str">
        <f t="shared" ref="F8:F36" si="1">_xlfn.IFS(MID(B8,3,2)="BO","Booking Online",MID(B8,3,2)="WI","Walk-in",TRUE,"Booking via Telepon")</f>
        <v>Walk-in</v>
      </c>
      <c r="G8" s="9" t="str">
        <f t="shared" ref="G8:G36" si="2">IF(MID(B8,15,1)="S","Staycation",IF(MID(B8,15,1)="T","Travelers","Perjalanan Bisnis"))</f>
        <v>Staycation</v>
      </c>
      <c r="H8" s="23">
        <f t="shared" ref="H8:H36" si="3">DATEVALUE(MID(B8,6,8))</f>
        <v>45778</v>
      </c>
      <c r="I8" s="23">
        <f t="shared" ref="I8:I36" si="4">_xlfn.IFS(G8="Staycation",H8+3,G8="Walk-in",H8+3,G8="Perjalanan Bisnis",H8+5,TRUE,H8+2)</f>
        <v>45781</v>
      </c>
      <c r="J8" s="6">
        <v>3</v>
      </c>
      <c r="K8" s="2" t="str">
        <f t="shared" ref="K8:K36" si="5">RIGHT(B8,4)</f>
        <v>KMR5</v>
      </c>
      <c r="L8" s="2" t="str">
        <f>INDEX(Master_Data!$A$7:$A$11,MATCH(Reservation_Log!K8,Master_Data!$D$7:$D$11,0))</f>
        <v>Family Room</v>
      </c>
      <c r="M8" s="27">
        <f>INDEX(Master_Data!$C$7:$C$11,MATCH(Reservation_Log!K8,Master_Data!$D$7:$D$11,0))</f>
        <v>3</v>
      </c>
      <c r="N8" s="24">
        <f>INDEX(Master_Data!$B$7:$B$11,MATCH(Reservation_Log!K8,Master_Data!$D$7:$D$11,0))</f>
        <v>500000</v>
      </c>
      <c r="O8" s="27" t="str">
        <f t="shared" ref="O8:O36" si="6">I8-H8&amp;" hari"</f>
        <v>3 hari</v>
      </c>
      <c r="P8" s="25">
        <f t="shared" ref="P8:P36" si="7">N8*SUBSTITUTE(O8," hari","")</f>
        <v>1500000</v>
      </c>
      <c r="Q8" s="11" t="s">
        <v>126</v>
      </c>
      <c r="R8" s="24">
        <f t="shared" ref="R8:R36" si="8">_xlfn.IFS(Q8="Sarapan",75000,Q8="Box Bayi",150000,Q8="Layanan Antar-Jemput",200000,Q8="Laundry",50000,Q8="Paket Spa &amp; Pijat",300000,TRUE,0)</f>
        <v>150000</v>
      </c>
      <c r="S8" s="25">
        <f t="shared" ref="S8:S36" si="9">P8+R8</f>
        <v>1650000</v>
      </c>
      <c r="T8" s="2" t="str">
        <f t="shared" ref="T8:T36" si="10">_xlfn.IFS(F8="Booking Online","TF/VA/Kartu Kredit",F8="Walk-in","Tunai/Kartu Kredit/Debit",TRUE,"TF/Tunai")</f>
        <v>Tunai/Kartu Kredit/Debit</v>
      </c>
      <c r="U8" s="2" t="str">
        <f t="shared" ref="U8:U36" ca="1" si="11">_xlfn.IFS(I8&lt;TODAY(),"sudah check out",I8&gt;TODAY(),"belum datang",TRUE,"sedang menginap ")</f>
        <v>sudah check out</v>
      </c>
      <c r="V8" s="42" t="str">
        <f t="shared" ref="V8:V36" ca="1" si="12">IF(AND(T8="Tunai/Kartu Kredit/Debit",U8="belum datang"),"Belum lunas","Lunas")</f>
        <v>Lunas</v>
      </c>
    </row>
    <row r="9" spans="1:22" ht="15" customHeight="1" x14ac:dyDescent="0.25">
      <c r="A9" s="41">
        <v>3</v>
      </c>
      <c r="B9" s="7" t="s">
        <v>41</v>
      </c>
      <c r="C9" s="7" t="s">
        <v>42</v>
      </c>
      <c r="D9" s="7" t="s">
        <v>43</v>
      </c>
      <c r="E9" s="2" t="str">
        <f t="shared" si="0"/>
        <v>Paspor</v>
      </c>
      <c r="F9" s="2" t="str">
        <f t="shared" si="1"/>
        <v>Booking via Telepon</v>
      </c>
      <c r="G9" s="9" t="str">
        <f t="shared" si="2"/>
        <v>Perjalanan Bisnis</v>
      </c>
      <c r="H9" s="23">
        <f t="shared" si="3"/>
        <v>45778</v>
      </c>
      <c r="I9" s="23">
        <f t="shared" si="4"/>
        <v>45783</v>
      </c>
      <c r="J9" s="6">
        <v>1</v>
      </c>
      <c r="K9" s="2" t="str">
        <f t="shared" si="5"/>
        <v>KMR2</v>
      </c>
      <c r="L9" s="2" t="str">
        <f>INDEX(Master_Data!$A$7:$A$11,MATCH(Reservation_Log!K9,Master_Data!$D$7:$D$11,0))</f>
        <v>Superior Room</v>
      </c>
      <c r="M9" s="27">
        <f>INDEX(Master_Data!$C$7:$C$11,MATCH(Reservation_Log!K9,Master_Data!$D$7:$D$11,0))</f>
        <v>2</v>
      </c>
      <c r="N9" s="24">
        <f>INDEX(Master_Data!$B$7:$B$11,MATCH(Reservation_Log!K9,Master_Data!$D$7:$D$11,0))</f>
        <v>1200000</v>
      </c>
      <c r="O9" s="27" t="str">
        <f t="shared" si="6"/>
        <v>5 hari</v>
      </c>
      <c r="P9" s="25">
        <f t="shared" si="7"/>
        <v>6000000</v>
      </c>
      <c r="Q9" s="11" t="s">
        <v>125</v>
      </c>
      <c r="R9" s="24">
        <f t="shared" si="8"/>
        <v>0</v>
      </c>
      <c r="S9" s="25">
        <f t="shared" si="9"/>
        <v>6000000</v>
      </c>
      <c r="T9" s="2" t="str">
        <f t="shared" si="10"/>
        <v>TF/Tunai</v>
      </c>
      <c r="U9" s="2" t="str">
        <f t="shared" ca="1" si="11"/>
        <v>sudah check out</v>
      </c>
      <c r="V9" s="42" t="str">
        <f t="shared" ca="1" si="12"/>
        <v>Lunas</v>
      </c>
    </row>
    <row r="10" spans="1:22" ht="15" customHeight="1" x14ac:dyDescent="0.25">
      <c r="A10" s="41">
        <v>4</v>
      </c>
      <c r="B10" s="7" t="s">
        <v>44</v>
      </c>
      <c r="C10" s="7" t="s">
        <v>45</v>
      </c>
      <c r="D10" s="7" t="s">
        <v>46</v>
      </c>
      <c r="E10" s="2" t="str">
        <f t="shared" si="0"/>
        <v>KTP</v>
      </c>
      <c r="F10" s="2" t="str">
        <f t="shared" si="1"/>
        <v>Booking via Telepon</v>
      </c>
      <c r="G10" s="9" t="str">
        <f t="shared" si="2"/>
        <v>Travelers</v>
      </c>
      <c r="H10" s="23">
        <f t="shared" si="3"/>
        <v>45779</v>
      </c>
      <c r="I10" s="23">
        <f t="shared" si="4"/>
        <v>45781</v>
      </c>
      <c r="J10" s="6">
        <v>3</v>
      </c>
      <c r="K10" s="2" t="str">
        <f t="shared" si="5"/>
        <v>KMR4</v>
      </c>
      <c r="L10" s="2" t="str">
        <f>INDEX(Master_Data!$A$7:$A$11,MATCH(Reservation_Log!K10,Master_Data!$D$7:$D$11,0))</f>
        <v>Suite</v>
      </c>
      <c r="M10" s="27">
        <f>INDEX(Master_Data!$C$7:$C$11,MATCH(Reservation_Log!K10,Master_Data!$D$7:$D$11,0))</f>
        <v>4</v>
      </c>
      <c r="N10" s="24">
        <f>INDEX(Master_Data!$B$7:$B$11,MATCH(Reservation_Log!K10,Master_Data!$D$7:$D$11,0))</f>
        <v>2000000</v>
      </c>
      <c r="O10" s="27" t="str">
        <f t="shared" si="6"/>
        <v>2 hari</v>
      </c>
      <c r="P10" s="25">
        <f t="shared" si="7"/>
        <v>4000000</v>
      </c>
      <c r="Q10" s="11" t="s">
        <v>128</v>
      </c>
      <c r="R10" s="24">
        <f t="shared" si="8"/>
        <v>200000</v>
      </c>
      <c r="S10" s="25">
        <f t="shared" si="9"/>
        <v>4200000</v>
      </c>
      <c r="T10" s="2" t="str">
        <f t="shared" si="10"/>
        <v>TF/Tunai</v>
      </c>
      <c r="U10" s="2" t="str">
        <f t="shared" ca="1" si="11"/>
        <v>sudah check out</v>
      </c>
      <c r="V10" s="42" t="str">
        <f t="shared" ca="1" si="12"/>
        <v>Lunas</v>
      </c>
    </row>
    <row r="11" spans="1:22" ht="15" customHeight="1" x14ac:dyDescent="0.25">
      <c r="A11" s="41">
        <v>5</v>
      </c>
      <c r="B11" s="7" t="s">
        <v>47</v>
      </c>
      <c r="C11" s="7" t="s">
        <v>48</v>
      </c>
      <c r="D11" s="7" t="s">
        <v>49</v>
      </c>
      <c r="E11" s="2" t="str">
        <f t="shared" si="0"/>
        <v>Paspor</v>
      </c>
      <c r="F11" s="2" t="str">
        <f t="shared" si="1"/>
        <v>Walk-in</v>
      </c>
      <c r="G11" s="9" t="str">
        <f t="shared" si="2"/>
        <v>Staycation</v>
      </c>
      <c r="H11" s="23">
        <f t="shared" si="3"/>
        <v>45780</v>
      </c>
      <c r="I11" s="23">
        <f t="shared" si="4"/>
        <v>45783</v>
      </c>
      <c r="J11" s="6">
        <v>2</v>
      </c>
      <c r="K11" s="2" t="str">
        <f t="shared" si="5"/>
        <v>KMR3</v>
      </c>
      <c r="L11" s="2" t="str">
        <f>INDEX(Master_Data!$A$7:$A$11,MATCH(Reservation_Log!K11,Master_Data!$D$7:$D$11,0))</f>
        <v>Deluxe Room</v>
      </c>
      <c r="M11" s="27">
        <f>INDEX(Master_Data!$C$7:$C$11,MATCH(Reservation_Log!K11,Master_Data!$D$7:$D$11,0))</f>
        <v>2</v>
      </c>
      <c r="N11" s="24">
        <f>INDEX(Master_Data!$B$7:$B$11,MATCH(Reservation_Log!K11,Master_Data!$D$7:$D$11,0))</f>
        <v>1800000</v>
      </c>
      <c r="O11" s="27" t="str">
        <f t="shared" si="6"/>
        <v>3 hari</v>
      </c>
      <c r="P11" s="25">
        <f t="shared" si="7"/>
        <v>5400000</v>
      </c>
      <c r="Q11" s="11" t="s">
        <v>130</v>
      </c>
      <c r="R11" s="24">
        <f t="shared" si="8"/>
        <v>50000</v>
      </c>
      <c r="S11" s="25">
        <f t="shared" si="9"/>
        <v>5450000</v>
      </c>
      <c r="T11" s="2" t="str">
        <f t="shared" si="10"/>
        <v>Tunai/Kartu Kredit/Debit</v>
      </c>
      <c r="U11" s="2" t="str">
        <f t="shared" ca="1" si="11"/>
        <v>sudah check out</v>
      </c>
      <c r="V11" s="42" t="str">
        <f t="shared" ca="1" si="12"/>
        <v>Lunas</v>
      </c>
    </row>
    <row r="12" spans="1:22" ht="15" customHeight="1" x14ac:dyDescent="0.25">
      <c r="A12" s="41">
        <v>6</v>
      </c>
      <c r="B12" s="7" t="s">
        <v>50</v>
      </c>
      <c r="C12" s="7" t="s">
        <v>51</v>
      </c>
      <c r="D12" s="7" t="s">
        <v>52</v>
      </c>
      <c r="E12" s="2" t="str">
        <f t="shared" si="0"/>
        <v>KTP</v>
      </c>
      <c r="F12" s="2" t="str">
        <f t="shared" si="1"/>
        <v>Booking Online</v>
      </c>
      <c r="G12" s="9" t="str">
        <f t="shared" si="2"/>
        <v>Perjalanan Bisnis</v>
      </c>
      <c r="H12" s="23">
        <f t="shared" si="3"/>
        <v>45782</v>
      </c>
      <c r="I12" s="23">
        <f t="shared" si="4"/>
        <v>45787</v>
      </c>
      <c r="J12" s="6">
        <v>2</v>
      </c>
      <c r="K12" s="2" t="str">
        <f t="shared" si="5"/>
        <v>KMR2</v>
      </c>
      <c r="L12" s="2" t="str">
        <f>INDEX(Master_Data!$A$7:$A$11,MATCH(Reservation_Log!K12,Master_Data!$D$7:$D$11,0))</f>
        <v>Superior Room</v>
      </c>
      <c r="M12" s="27">
        <f>INDEX(Master_Data!$C$7:$C$11,MATCH(Reservation_Log!K12,Master_Data!$D$7:$D$11,0))</f>
        <v>2</v>
      </c>
      <c r="N12" s="24">
        <f>INDEX(Master_Data!$B$7:$B$11,MATCH(Reservation_Log!K12,Master_Data!$D$7:$D$11,0))</f>
        <v>1200000</v>
      </c>
      <c r="O12" s="27" t="str">
        <f t="shared" si="6"/>
        <v>5 hari</v>
      </c>
      <c r="P12" s="25">
        <f t="shared" si="7"/>
        <v>6000000</v>
      </c>
      <c r="Q12" s="11" t="s">
        <v>129</v>
      </c>
      <c r="R12" s="24">
        <f t="shared" si="8"/>
        <v>300000</v>
      </c>
      <c r="S12" s="25">
        <f t="shared" si="9"/>
        <v>6300000</v>
      </c>
      <c r="T12" s="2" t="str">
        <f t="shared" si="10"/>
        <v>TF/VA/Kartu Kredit</v>
      </c>
      <c r="U12" s="2" t="str">
        <f t="shared" ca="1" si="11"/>
        <v>sudah check out</v>
      </c>
      <c r="V12" s="42" t="str">
        <f t="shared" ca="1" si="12"/>
        <v>Lunas</v>
      </c>
    </row>
    <row r="13" spans="1:22" ht="15" customHeight="1" x14ac:dyDescent="0.25">
      <c r="A13" s="41">
        <v>7</v>
      </c>
      <c r="B13" s="7" t="s">
        <v>53</v>
      </c>
      <c r="C13" s="7" t="s">
        <v>54</v>
      </c>
      <c r="D13" s="7" t="s">
        <v>55</v>
      </c>
      <c r="E13" s="2" t="str">
        <f t="shared" si="0"/>
        <v>KTP</v>
      </c>
      <c r="F13" s="2" t="str">
        <f t="shared" si="1"/>
        <v>Walk-in</v>
      </c>
      <c r="G13" s="9" t="str">
        <f t="shared" si="2"/>
        <v>Travelers</v>
      </c>
      <c r="H13" s="23">
        <f t="shared" si="3"/>
        <v>45782</v>
      </c>
      <c r="I13" s="23">
        <f t="shared" si="4"/>
        <v>45784</v>
      </c>
      <c r="J13" s="6">
        <v>1</v>
      </c>
      <c r="K13" s="2" t="str">
        <f t="shared" si="5"/>
        <v>KMR2</v>
      </c>
      <c r="L13" s="2" t="str">
        <f>INDEX(Master_Data!$A$7:$A$11,MATCH(Reservation_Log!K13,Master_Data!$D$7:$D$11,0))</f>
        <v>Superior Room</v>
      </c>
      <c r="M13" s="27">
        <f>INDEX(Master_Data!$C$7:$C$11,MATCH(Reservation_Log!K13,Master_Data!$D$7:$D$11,0))</f>
        <v>2</v>
      </c>
      <c r="N13" s="24">
        <f>INDEX(Master_Data!$B$7:$B$11,MATCH(Reservation_Log!K13,Master_Data!$D$7:$D$11,0))</f>
        <v>1200000</v>
      </c>
      <c r="O13" s="27" t="str">
        <f t="shared" si="6"/>
        <v>2 hari</v>
      </c>
      <c r="P13" s="25">
        <f t="shared" si="7"/>
        <v>2400000</v>
      </c>
      <c r="Q13" s="11" t="s">
        <v>125</v>
      </c>
      <c r="R13" s="24">
        <f t="shared" si="8"/>
        <v>0</v>
      </c>
      <c r="S13" s="25">
        <f t="shared" si="9"/>
        <v>2400000</v>
      </c>
      <c r="T13" s="2" t="str">
        <f t="shared" si="10"/>
        <v>Tunai/Kartu Kredit/Debit</v>
      </c>
      <c r="U13" s="2" t="str">
        <f t="shared" ca="1" si="11"/>
        <v>sudah check out</v>
      </c>
      <c r="V13" s="42" t="str">
        <f t="shared" ca="1" si="12"/>
        <v>Lunas</v>
      </c>
    </row>
    <row r="14" spans="1:22" ht="15" customHeight="1" x14ac:dyDescent="0.25">
      <c r="A14" s="41">
        <v>8</v>
      </c>
      <c r="B14" s="7" t="s">
        <v>56</v>
      </c>
      <c r="C14" s="7" t="s">
        <v>57</v>
      </c>
      <c r="D14" s="7" t="s">
        <v>58</v>
      </c>
      <c r="E14" s="2" t="str">
        <f t="shared" si="0"/>
        <v>KTP</v>
      </c>
      <c r="F14" s="2" t="str">
        <f t="shared" si="1"/>
        <v>Booking via Telepon</v>
      </c>
      <c r="G14" s="9" t="str">
        <f t="shared" si="2"/>
        <v>Travelers</v>
      </c>
      <c r="H14" s="23">
        <f t="shared" si="3"/>
        <v>45784</v>
      </c>
      <c r="I14" s="23">
        <f t="shared" si="4"/>
        <v>45786</v>
      </c>
      <c r="J14" s="6">
        <v>2</v>
      </c>
      <c r="K14" s="2" t="str">
        <f t="shared" si="5"/>
        <v>KMR2</v>
      </c>
      <c r="L14" s="2" t="str">
        <f>INDEX(Master_Data!$A$7:$A$11,MATCH(Reservation_Log!K14,Master_Data!$D$7:$D$11,0))</f>
        <v>Superior Room</v>
      </c>
      <c r="M14" s="27">
        <f>INDEX(Master_Data!$C$7:$C$11,MATCH(Reservation_Log!K14,Master_Data!$D$7:$D$11,0))</f>
        <v>2</v>
      </c>
      <c r="N14" s="24">
        <f>INDEX(Master_Data!$B$7:$B$11,MATCH(Reservation_Log!K14,Master_Data!$D$7:$D$11,0))</f>
        <v>1200000</v>
      </c>
      <c r="O14" s="27" t="str">
        <f t="shared" si="6"/>
        <v>2 hari</v>
      </c>
      <c r="P14" s="25">
        <f t="shared" si="7"/>
        <v>2400000</v>
      </c>
      <c r="Q14" s="11" t="s">
        <v>125</v>
      </c>
      <c r="R14" s="24">
        <f t="shared" si="8"/>
        <v>0</v>
      </c>
      <c r="S14" s="25">
        <f t="shared" si="9"/>
        <v>2400000</v>
      </c>
      <c r="T14" s="2" t="str">
        <f t="shared" si="10"/>
        <v>TF/Tunai</v>
      </c>
      <c r="U14" s="2" t="str">
        <f t="shared" ca="1" si="11"/>
        <v>sudah check out</v>
      </c>
      <c r="V14" s="42" t="str">
        <f t="shared" ca="1" si="12"/>
        <v>Lunas</v>
      </c>
    </row>
    <row r="15" spans="1:22" ht="15" customHeight="1" x14ac:dyDescent="0.25">
      <c r="A15" s="41">
        <v>9</v>
      </c>
      <c r="B15" s="7" t="s">
        <v>59</v>
      </c>
      <c r="C15" s="7" t="s">
        <v>60</v>
      </c>
      <c r="D15" s="7" t="s">
        <v>61</v>
      </c>
      <c r="E15" s="2" t="str">
        <f t="shared" si="0"/>
        <v>Paspor</v>
      </c>
      <c r="F15" s="2" t="str">
        <f t="shared" si="1"/>
        <v>Booking Online</v>
      </c>
      <c r="G15" s="9" t="str">
        <f t="shared" si="2"/>
        <v>Perjalanan Bisnis</v>
      </c>
      <c r="H15" s="23">
        <f t="shared" si="3"/>
        <v>45787</v>
      </c>
      <c r="I15" s="23">
        <f t="shared" si="4"/>
        <v>45792</v>
      </c>
      <c r="J15" s="6">
        <v>4</v>
      </c>
      <c r="K15" s="2" t="str">
        <f t="shared" si="5"/>
        <v>KMR4</v>
      </c>
      <c r="L15" s="2" t="str">
        <f>INDEX(Master_Data!$A$7:$A$11,MATCH(Reservation_Log!K15,Master_Data!$D$7:$D$11,0))</f>
        <v>Suite</v>
      </c>
      <c r="M15" s="27">
        <f>INDEX(Master_Data!$C$7:$C$11,MATCH(Reservation_Log!K15,Master_Data!$D$7:$D$11,0))</f>
        <v>4</v>
      </c>
      <c r="N15" s="24">
        <f>INDEX(Master_Data!$B$7:$B$11,MATCH(Reservation_Log!K15,Master_Data!$D$7:$D$11,0))</f>
        <v>2000000</v>
      </c>
      <c r="O15" s="27" t="str">
        <f t="shared" si="6"/>
        <v>5 hari</v>
      </c>
      <c r="P15" s="25">
        <f t="shared" si="7"/>
        <v>10000000</v>
      </c>
      <c r="Q15" s="11" t="s">
        <v>125</v>
      </c>
      <c r="R15" s="24">
        <f t="shared" si="8"/>
        <v>0</v>
      </c>
      <c r="S15" s="25">
        <f t="shared" si="9"/>
        <v>10000000</v>
      </c>
      <c r="T15" s="2" t="str">
        <f t="shared" si="10"/>
        <v>TF/VA/Kartu Kredit</v>
      </c>
      <c r="U15" s="2" t="str">
        <f t="shared" ca="1" si="11"/>
        <v>sudah check out</v>
      </c>
      <c r="V15" s="42" t="str">
        <f t="shared" ca="1" si="12"/>
        <v>Lunas</v>
      </c>
    </row>
    <row r="16" spans="1:22" ht="15" customHeight="1" x14ac:dyDescent="0.25">
      <c r="A16" s="41">
        <v>10</v>
      </c>
      <c r="B16" s="7" t="s">
        <v>62</v>
      </c>
      <c r="C16" s="7" t="s">
        <v>63</v>
      </c>
      <c r="D16" s="7" t="s">
        <v>64</v>
      </c>
      <c r="E16" s="2" t="str">
        <f t="shared" si="0"/>
        <v>Paspor</v>
      </c>
      <c r="F16" s="2" t="str">
        <f t="shared" si="1"/>
        <v>Booking Online</v>
      </c>
      <c r="G16" s="9" t="str">
        <f t="shared" si="2"/>
        <v>Staycation</v>
      </c>
      <c r="H16" s="23">
        <f t="shared" si="3"/>
        <v>45790</v>
      </c>
      <c r="I16" s="23">
        <f t="shared" si="4"/>
        <v>45793</v>
      </c>
      <c r="J16" s="6">
        <v>1</v>
      </c>
      <c r="K16" s="2" t="str">
        <f t="shared" si="5"/>
        <v>KMR1</v>
      </c>
      <c r="L16" s="2" t="str">
        <f>INDEX(Master_Data!$A$7:$A$11,MATCH(Reservation_Log!K16,Master_Data!$D$7:$D$11,0))</f>
        <v>Standard Room</v>
      </c>
      <c r="M16" s="27">
        <f>INDEX(Master_Data!$C$7:$C$11,MATCH(Reservation_Log!K16,Master_Data!$D$7:$D$11,0))</f>
        <v>2</v>
      </c>
      <c r="N16" s="24">
        <f>INDEX(Master_Data!$B$7:$B$11,MATCH(Reservation_Log!K16,Master_Data!$D$7:$D$11,0))</f>
        <v>800000</v>
      </c>
      <c r="O16" s="27" t="str">
        <f t="shared" si="6"/>
        <v>3 hari</v>
      </c>
      <c r="P16" s="25">
        <f t="shared" si="7"/>
        <v>2400000</v>
      </c>
      <c r="Q16" s="11" t="s">
        <v>127</v>
      </c>
      <c r="R16" s="24">
        <f t="shared" si="8"/>
        <v>75000</v>
      </c>
      <c r="S16" s="25">
        <f t="shared" si="9"/>
        <v>2475000</v>
      </c>
      <c r="T16" s="2" t="str">
        <f t="shared" si="10"/>
        <v>TF/VA/Kartu Kredit</v>
      </c>
      <c r="U16" s="2" t="str">
        <f t="shared" ca="1" si="11"/>
        <v>sudah check out</v>
      </c>
      <c r="V16" s="42" t="str">
        <f t="shared" ca="1" si="12"/>
        <v>Lunas</v>
      </c>
    </row>
    <row r="17" spans="1:22" ht="15" customHeight="1" x14ac:dyDescent="0.25">
      <c r="A17" s="41">
        <v>11</v>
      </c>
      <c r="B17" s="7" t="s">
        <v>65</v>
      </c>
      <c r="C17" s="7" t="s">
        <v>66</v>
      </c>
      <c r="D17" s="7" t="s">
        <v>67</v>
      </c>
      <c r="E17" s="2" t="str">
        <f t="shared" si="0"/>
        <v>Paspor</v>
      </c>
      <c r="F17" s="2" t="str">
        <f t="shared" si="1"/>
        <v>Walk-in</v>
      </c>
      <c r="G17" s="9" t="str">
        <f t="shared" si="2"/>
        <v>Staycation</v>
      </c>
      <c r="H17" s="23">
        <f t="shared" si="3"/>
        <v>45792</v>
      </c>
      <c r="I17" s="23">
        <f t="shared" si="4"/>
        <v>45795</v>
      </c>
      <c r="J17" s="6">
        <v>1</v>
      </c>
      <c r="K17" s="2" t="str">
        <f t="shared" si="5"/>
        <v>KMR5</v>
      </c>
      <c r="L17" s="2" t="str">
        <f>INDEX(Master_Data!$A$7:$A$11,MATCH(Reservation_Log!K17,Master_Data!$D$7:$D$11,0))</f>
        <v>Family Room</v>
      </c>
      <c r="M17" s="27">
        <f>INDEX(Master_Data!$C$7:$C$11,MATCH(Reservation_Log!K17,Master_Data!$D$7:$D$11,0))</f>
        <v>3</v>
      </c>
      <c r="N17" s="24">
        <f>INDEX(Master_Data!$B$7:$B$11,MATCH(Reservation_Log!K17,Master_Data!$D$7:$D$11,0))</f>
        <v>500000</v>
      </c>
      <c r="O17" s="27" t="str">
        <f t="shared" si="6"/>
        <v>3 hari</v>
      </c>
      <c r="P17" s="25">
        <f t="shared" si="7"/>
        <v>1500000</v>
      </c>
      <c r="Q17" s="11" t="s">
        <v>126</v>
      </c>
      <c r="R17" s="24">
        <f t="shared" si="8"/>
        <v>150000</v>
      </c>
      <c r="S17" s="25">
        <f t="shared" si="9"/>
        <v>1650000</v>
      </c>
      <c r="T17" s="2" t="str">
        <f t="shared" si="10"/>
        <v>Tunai/Kartu Kredit/Debit</v>
      </c>
      <c r="U17" s="2" t="str">
        <f t="shared" ca="1" si="11"/>
        <v>sudah check out</v>
      </c>
      <c r="V17" s="42" t="str">
        <f t="shared" ca="1" si="12"/>
        <v>Lunas</v>
      </c>
    </row>
    <row r="18" spans="1:22" ht="15" customHeight="1" x14ac:dyDescent="0.25">
      <c r="A18" s="41">
        <v>12</v>
      </c>
      <c r="B18" s="7" t="s">
        <v>68</v>
      </c>
      <c r="C18" s="7" t="s">
        <v>69</v>
      </c>
      <c r="D18" s="7" t="s">
        <v>70</v>
      </c>
      <c r="E18" s="2" t="str">
        <f t="shared" si="0"/>
        <v>KTP</v>
      </c>
      <c r="F18" s="2" t="str">
        <f t="shared" si="1"/>
        <v>Walk-in</v>
      </c>
      <c r="G18" s="9" t="str">
        <f t="shared" si="2"/>
        <v>Travelers</v>
      </c>
      <c r="H18" s="23">
        <f t="shared" si="3"/>
        <v>45792</v>
      </c>
      <c r="I18" s="23">
        <f t="shared" si="4"/>
        <v>45794</v>
      </c>
      <c r="J18" s="6">
        <v>3</v>
      </c>
      <c r="K18" s="2" t="str">
        <f t="shared" si="5"/>
        <v>KMR5</v>
      </c>
      <c r="L18" s="2" t="str">
        <f>INDEX(Master_Data!$A$7:$A$11,MATCH(Reservation_Log!K18,Master_Data!$D$7:$D$11,0))</f>
        <v>Family Room</v>
      </c>
      <c r="M18" s="27">
        <f>INDEX(Master_Data!$C$7:$C$11,MATCH(Reservation_Log!K18,Master_Data!$D$7:$D$11,0))</f>
        <v>3</v>
      </c>
      <c r="N18" s="24">
        <f>INDEX(Master_Data!$B$7:$B$11,MATCH(Reservation_Log!K18,Master_Data!$D$7:$D$11,0))</f>
        <v>500000</v>
      </c>
      <c r="O18" s="27" t="str">
        <f t="shared" si="6"/>
        <v>2 hari</v>
      </c>
      <c r="P18" s="25">
        <f t="shared" si="7"/>
        <v>1000000</v>
      </c>
      <c r="Q18" s="11" t="s">
        <v>125</v>
      </c>
      <c r="R18" s="24">
        <f t="shared" si="8"/>
        <v>0</v>
      </c>
      <c r="S18" s="25">
        <f t="shared" si="9"/>
        <v>1000000</v>
      </c>
      <c r="T18" s="2" t="str">
        <f t="shared" si="10"/>
        <v>Tunai/Kartu Kredit/Debit</v>
      </c>
      <c r="U18" s="2" t="str">
        <f t="shared" ca="1" si="11"/>
        <v>sudah check out</v>
      </c>
      <c r="V18" s="42" t="str">
        <f t="shared" ca="1" si="12"/>
        <v>Lunas</v>
      </c>
    </row>
    <row r="19" spans="1:22" ht="15" customHeight="1" x14ac:dyDescent="0.25">
      <c r="A19" s="41">
        <v>13</v>
      </c>
      <c r="B19" s="7" t="s">
        <v>71</v>
      </c>
      <c r="C19" s="7" t="s">
        <v>72</v>
      </c>
      <c r="D19" s="8" t="s">
        <v>73</v>
      </c>
      <c r="E19" s="2" t="str">
        <f t="shared" si="0"/>
        <v>Paspor</v>
      </c>
      <c r="F19" s="2" t="str">
        <f t="shared" si="1"/>
        <v>Booking via Telepon</v>
      </c>
      <c r="G19" s="9" t="str">
        <f t="shared" si="2"/>
        <v>Perjalanan Bisnis</v>
      </c>
      <c r="H19" s="23">
        <f t="shared" si="3"/>
        <v>45794</v>
      </c>
      <c r="I19" s="23">
        <f t="shared" si="4"/>
        <v>45799</v>
      </c>
      <c r="J19" s="6">
        <v>2</v>
      </c>
      <c r="K19" s="2" t="str">
        <f t="shared" si="5"/>
        <v>KMR4</v>
      </c>
      <c r="L19" s="2" t="str">
        <f>INDEX(Master_Data!$A$7:$A$11,MATCH(Reservation_Log!K19,Master_Data!$D$7:$D$11,0))</f>
        <v>Suite</v>
      </c>
      <c r="M19" s="27">
        <f>INDEX(Master_Data!$C$7:$C$11,MATCH(Reservation_Log!K19,Master_Data!$D$7:$D$11,0))</f>
        <v>4</v>
      </c>
      <c r="N19" s="24">
        <f>INDEX(Master_Data!$B$7:$B$11,MATCH(Reservation_Log!K19,Master_Data!$D$7:$D$11,0))</f>
        <v>2000000</v>
      </c>
      <c r="O19" s="27" t="str">
        <f t="shared" si="6"/>
        <v>5 hari</v>
      </c>
      <c r="P19" s="25">
        <f t="shared" si="7"/>
        <v>10000000</v>
      </c>
      <c r="Q19" s="11" t="s">
        <v>129</v>
      </c>
      <c r="R19" s="24">
        <f t="shared" si="8"/>
        <v>300000</v>
      </c>
      <c r="S19" s="25">
        <f t="shared" si="9"/>
        <v>10300000</v>
      </c>
      <c r="T19" s="2" t="str">
        <f t="shared" si="10"/>
        <v>TF/Tunai</v>
      </c>
      <c r="U19" s="2" t="str">
        <f t="shared" ca="1" si="11"/>
        <v>sudah check out</v>
      </c>
      <c r="V19" s="42" t="str">
        <f t="shared" ca="1" si="12"/>
        <v>Lunas</v>
      </c>
    </row>
    <row r="20" spans="1:22" ht="15.75" customHeight="1" x14ac:dyDescent="0.25">
      <c r="A20" s="41">
        <v>14</v>
      </c>
      <c r="B20" s="7" t="s">
        <v>74</v>
      </c>
      <c r="C20" s="7" t="s">
        <v>75</v>
      </c>
      <c r="D20" s="7" t="s">
        <v>76</v>
      </c>
      <c r="E20" s="2" t="str">
        <f t="shared" si="0"/>
        <v>Paspor</v>
      </c>
      <c r="F20" s="2" t="str">
        <f t="shared" si="1"/>
        <v>Booking Online</v>
      </c>
      <c r="G20" s="9" t="str">
        <f t="shared" si="2"/>
        <v>Perjalanan Bisnis</v>
      </c>
      <c r="H20" s="23">
        <f t="shared" si="3"/>
        <v>45795</v>
      </c>
      <c r="I20" s="23">
        <f t="shared" si="4"/>
        <v>45800</v>
      </c>
      <c r="J20" s="6">
        <v>1</v>
      </c>
      <c r="K20" s="2" t="str">
        <f t="shared" si="5"/>
        <v>KMR3</v>
      </c>
      <c r="L20" s="2" t="str">
        <f>INDEX(Master_Data!$A$7:$A$11,MATCH(Reservation_Log!K20,Master_Data!$D$7:$D$11,0))</f>
        <v>Deluxe Room</v>
      </c>
      <c r="M20" s="27">
        <f>INDEX(Master_Data!$C$7:$C$11,MATCH(Reservation_Log!K20,Master_Data!$D$7:$D$11,0))</f>
        <v>2</v>
      </c>
      <c r="N20" s="24">
        <f>INDEX(Master_Data!$B$7:$B$11,MATCH(Reservation_Log!K20,Master_Data!$D$7:$D$11,0))</f>
        <v>1800000</v>
      </c>
      <c r="O20" s="27" t="str">
        <f t="shared" si="6"/>
        <v>5 hari</v>
      </c>
      <c r="P20" s="25">
        <f t="shared" si="7"/>
        <v>9000000</v>
      </c>
      <c r="Q20" s="11" t="s">
        <v>130</v>
      </c>
      <c r="R20" s="24">
        <f t="shared" si="8"/>
        <v>50000</v>
      </c>
      <c r="S20" s="25">
        <f t="shared" si="9"/>
        <v>9050000</v>
      </c>
      <c r="T20" s="2" t="str">
        <f t="shared" si="10"/>
        <v>TF/VA/Kartu Kredit</v>
      </c>
      <c r="U20" s="2" t="str">
        <f t="shared" ca="1" si="11"/>
        <v>sudah check out</v>
      </c>
      <c r="V20" s="42" t="str">
        <f t="shared" ca="1" si="12"/>
        <v>Lunas</v>
      </c>
    </row>
    <row r="21" spans="1:22" ht="15.75" customHeight="1" x14ac:dyDescent="0.25">
      <c r="A21" s="41">
        <v>15</v>
      </c>
      <c r="B21" s="7" t="s">
        <v>77</v>
      </c>
      <c r="C21" s="7" t="s">
        <v>78</v>
      </c>
      <c r="D21" s="7" t="s">
        <v>79</v>
      </c>
      <c r="E21" s="2" t="str">
        <f t="shared" si="0"/>
        <v>Paspor</v>
      </c>
      <c r="F21" s="2" t="str">
        <f t="shared" si="1"/>
        <v>Walk-in</v>
      </c>
      <c r="G21" s="9" t="str">
        <f t="shared" si="2"/>
        <v>Perjalanan Bisnis</v>
      </c>
      <c r="H21" s="23">
        <f t="shared" si="3"/>
        <v>45796</v>
      </c>
      <c r="I21" s="23">
        <f t="shared" si="4"/>
        <v>45801</v>
      </c>
      <c r="J21" s="6">
        <v>2</v>
      </c>
      <c r="K21" s="2" t="str">
        <f t="shared" si="5"/>
        <v>KMR2</v>
      </c>
      <c r="L21" s="2" t="str">
        <f>INDEX(Master_Data!$A$7:$A$11,MATCH(Reservation_Log!K21,Master_Data!$D$7:$D$11,0))</f>
        <v>Superior Room</v>
      </c>
      <c r="M21" s="27">
        <f>INDEX(Master_Data!$C$7:$C$11,MATCH(Reservation_Log!K21,Master_Data!$D$7:$D$11,0))</f>
        <v>2</v>
      </c>
      <c r="N21" s="24">
        <f>INDEX(Master_Data!$B$7:$B$11,MATCH(Reservation_Log!K21,Master_Data!$D$7:$D$11,0))</f>
        <v>1200000</v>
      </c>
      <c r="O21" s="27" t="str">
        <f t="shared" si="6"/>
        <v>5 hari</v>
      </c>
      <c r="P21" s="25">
        <f t="shared" si="7"/>
        <v>6000000</v>
      </c>
      <c r="Q21" s="11" t="s">
        <v>125</v>
      </c>
      <c r="R21" s="24">
        <f t="shared" si="8"/>
        <v>0</v>
      </c>
      <c r="S21" s="25">
        <f t="shared" si="9"/>
        <v>6000000</v>
      </c>
      <c r="T21" s="2" t="str">
        <f t="shared" si="10"/>
        <v>Tunai/Kartu Kredit/Debit</v>
      </c>
      <c r="U21" s="2" t="str">
        <f t="shared" ca="1" si="11"/>
        <v>sudah check out</v>
      </c>
      <c r="V21" s="42" t="str">
        <f t="shared" ca="1" si="12"/>
        <v>Lunas</v>
      </c>
    </row>
    <row r="22" spans="1:22" ht="15.75" customHeight="1" x14ac:dyDescent="0.25">
      <c r="A22" s="41">
        <v>16</v>
      </c>
      <c r="B22" s="7" t="s">
        <v>80</v>
      </c>
      <c r="C22" s="7" t="s">
        <v>81</v>
      </c>
      <c r="D22" s="7" t="s">
        <v>82</v>
      </c>
      <c r="E22" s="2" t="str">
        <f t="shared" si="0"/>
        <v>KTP</v>
      </c>
      <c r="F22" s="2" t="str">
        <f t="shared" si="1"/>
        <v>Booking Online</v>
      </c>
      <c r="G22" s="9" t="str">
        <f t="shared" si="2"/>
        <v>Staycation</v>
      </c>
      <c r="H22" s="23">
        <f t="shared" si="3"/>
        <v>45797</v>
      </c>
      <c r="I22" s="23">
        <f t="shared" si="4"/>
        <v>45800</v>
      </c>
      <c r="J22" s="6">
        <v>2</v>
      </c>
      <c r="K22" s="2" t="str">
        <f t="shared" si="5"/>
        <v>KMR5</v>
      </c>
      <c r="L22" s="2" t="str">
        <f>INDEX(Master_Data!$A$7:$A$11,MATCH(Reservation_Log!K22,Master_Data!$D$7:$D$11,0))</f>
        <v>Family Room</v>
      </c>
      <c r="M22" s="27">
        <f>INDEX(Master_Data!$C$7:$C$11,MATCH(Reservation_Log!K22,Master_Data!$D$7:$D$11,0))</f>
        <v>3</v>
      </c>
      <c r="N22" s="24">
        <f>INDEX(Master_Data!$B$7:$B$11,MATCH(Reservation_Log!K22,Master_Data!$D$7:$D$11,0))</f>
        <v>500000</v>
      </c>
      <c r="O22" s="27" t="str">
        <f t="shared" si="6"/>
        <v>3 hari</v>
      </c>
      <c r="P22" s="25">
        <f t="shared" si="7"/>
        <v>1500000</v>
      </c>
      <c r="Q22" s="11" t="s">
        <v>125</v>
      </c>
      <c r="R22" s="24">
        <f t="shared" si="8"/>
        <v>0</v>
      </c>
      <c r="S22" s="25">
        <f t="shared" si="9"/>
        <v>1500000</v>
      </c>
      <c r="T22" s="2" t="str">
        <f t="shared" si="10"/>
        <v>TF/VA/Kartu Kredit</v>
      </c>
      <c r="U22" s="2" t="str">
        <f t="shared" ca="1" si="11"/>
        <v>sudah check out</v>
      </c>
      <c r="V22" s="42" t="str">
        <f t="shared" ca="1" si="12"/>
        <v>Lunas</v>
      </c>
    </row>
    <row r="23" spans="1:22" ht="15.75" customHeight="1" x14ac:dyDescent="0.25">
      <c r="A23" s="41">
        <v>17</v>
      </c>
      <c r="B23" s="7" t="s">
        <v>83</v>
      </c>
      <c r="C23" s="7" t="s">
        <v>84</v>
      </c>
      <c r="D23" s="7" t="s">
        <v>85</v>
      </c>
      <c r="E23" s="2" t="str">
        <f t="shared" si="0"/>
        <v>Paspor</v>
      </c>
      <c r="F23" s="2" t="str">
        <f t="shared" si="1"/>
        <v>Booking via Telepon</v>
      </c>
      <c r="G23" s="9" t="str">
        <f t="shared" si="2"/>
        <v>Staycation</v>
      </c>
      <c r="H23" s="23">
        <f t="shared" si="3"/>
        <v>45798</v>
      </c>
      <c r="I23" s="23">
        <f t="shared" si="4"/>
        <v>45801</v>
      </c>
      <c r="J23" s="6">
        <v>4</v>
      </c>
      <c r="K23" s="2" t="str">
        <f t="shared" si="5"/>
        <v>KMR4</v>
      </c>
      <c r="L23" s="2" t="str">
        <f>INDEX(Master_Data!$A$7:$A$11,MATCH(Reservation_Log!K23,Master_Data!$D$7:$D$11,0))</f>
        <v>Suite</v>
      </c>
      <c r="M23" s="27">
        <f>INDEX(Master_Data!$C$7:$C$11,MATCH(Reservation_Log!K23,Master_Data!$D$7:$D$11,0))</f>
        <v>4</v>
      </c>
      <c r="N23" s="24">
        <f>INDEX(Master_Data!$B$7:$B$11,MATCH(Reservation_Log!K23,Master_Data!$D$7:$D$11,0))</f>
        <v>2000000</v>
      </c>
      <c r="O23" s="27" t="str">
        <f t="shared" si="6"/>
        <v>3 hari</v>
      </c>
      <c r="P23" s="25">
        <f t="shared" si="7"/>
        <v>6000000</v>
      </c>
      <c r="Q23" s="11" t="s">
        <v>128</v>
      </c>
      <c r="R23" s="24">
        <f t="shared" si="8"/>
        <v>200000</v>
      </c>
      <c r="S23" s="25">
        <f t="shared" si="9"/>
        <v>6200000</v>
      </c>
      <c r="T23" s="2" t="str">
        <f t="shared" si="10"/>
        <v>TF/Tunai</v>
      </c>
      <c r="U23" s="2" t="str">
        <f t="shared" ca="1" si="11"/>
        <v>sudah check out</v>
      </c>
      <c r="V23" s="42" t="str">
        <f t="shared" ca="1" si="12"/>
        <v>Lunas</v>
      </c>
    </row>
    <row r="24" spans="1:22" ht="15.75" customHeight="1" x14ac:dyDescent="0.25">
      <c r="A24" s="41">
        <v>18</v>
      </c>
      <c r="B24" s="7" t="s">
        <v>86</v>
      </c>
      <c r="C24" s="7" t="s">
        <v>87</v>
      </c>
      <c r="D24" s="7" t="s">
        <v>88</v>
      </c>
      <c r="E24" s="2" t="str">
        <f t="shared" si="0"/>
        <v>Paspor</v>
      </c>
      <c r="F24" s="2" t="str">
        <f t="shared" si="1"/>
        <v>Booking Online</v>
      </c>
      <c r="G24" s="9" t="str">
        <f t="shared" si="2"/>
        <v>Travelers</v>
      </c>
      <c r="H24" s="23">
        <f t="shared" si="3"/>
        <v>45799</v>
      </c>
      <c r="I24" s="23">
        <f t="shared" si="4"/>
        <v>45801</v>
      </c>
      <c r="J24" s="6">
        <v>1</v>
      </c>
      <c r="K24" s="2" t="str">
        <f t="shared" si="5"/>
        <v>KMR3</v>
      </c>
      <c r="L24" s="2" t="str">
        <f>INDEX(Master_Data!$A$7:$A$11,MATCH(Reservation_Log!K24,Master_Data!$D$7:$D$11,0))</f>
        <v>Deluxe Room</v>
      </c>
      <c r="M24" s="27">
        <f>INDEX(Master_Data!$C$7:$C$11,MATCH(Reservation_Log!K24,Master_Data!$D$7:$D$11,0))</f>
        <v>2</v>
      </c>
      <c r="N24" s="24">
        <f>INDEX(Master_Data!$B$7:$B$11,MATCH(Reservation_Log!K24,Master_Data!$D$7:$D$11,0))</f>
        <v>1800000</v>
      </c>
      <c r="O24" s="27" t="str">
        <f t="shared" si="6"/>
        <v>2 hari</v>
      </c>
      <c r="P24" s="25">
        <f t="shared" si="7"/>
        <v>3600000</v>
      </c>
      <c r="Q24" s="11" t="s">
        <v>129</v>
      </c>
      <c r="R24" s="24">
        <f t="shared" si="8"/>
        <v>300000</v>
      </c>
      <c r="S24" s="25">
        <f t="shared" si="9"/>
        <v>3900000</v>
      </c>
      <c r="T24" s="2" t="str">
        <f t="shared" si="10"/>
        <v>TF/VA/Kartu Kredit</v>
      </c>
      <c r="U24" s="2" t="str">
        <f t="shared" ca="1" si="11"/>
        <v>sudah check out</v>
      </c>
      <c r="V24" s="42" t="str">
        <f t="shared" ca="1" si="12"/>
        <v>Lunas</v>
      </c>
    </row>
    <row r="25" spans="1:22" ht="15.75" customHeight="1" x14ac:dyDescent="0.25">
      <c r="A25" s="41">
        <v>19</v>
      </c>
      <c r="B25" s="7" t="s">
        <v>89</v>
      </c>
      <c r="C25" s="7" t="s">
        <v>90</v>
      </c>
      <c r="D25" s="7" t="s">
        <v>91</v>
      </c>
      <c r="E25" s="2" t="str">
        <f t="shared" si="0"/>
        <v>Paspor</v>
      </c>
      <c r="F25" s="2" t="str">
        <f t="shared" si="1"/>
        <v>Walk-in</v>
      </c>
      <c r="G25" s="9" t="str">
        <f t="shared" si="2"/>
        <v>Travelers</v>
      </c>
      <c r="H25" s="23">
        <f t="shared" si="3"/>
        <v>45800</v>
      </c>
      <c r="I25" s="23">
        <f t="shared" si="4"/>
        <v>45802</v>
      </c>
      <c r="J25" s="6">
        <v>2</v>
      </c>
      <c r="K25" s="2" t="str">
        <f t="shared" si="5"/>
        <v>KMR2</v>
      </c>
      <c r="L25" s="2" t="str">
        <f>INDEX(Master_Data!$A$7:$A$11,MATCH(Reservation_Log!K25,Master_Data!$D$7:$D$11,0))</f>
        <v>Superior Room</v>
      </c>
      <c r="M25" s="27">
        <f>INDEX(Master_Data!$C$7:$C$11,MATCH(Reservation_Log!K25,Master_Data!$D$7:$D$11,0))</f>
        <v>2</v>
      </c>
      <c r="N25" s="24">
        <f>INDEX(Master_Data!$B$7:$B$11,MATCH(Reservation_Log!K25,Master_Data!$D$7:$D$11,0))</f>
        <v>1200000</v>
      </c>
      <c r="O25" s="27" t="str">
        <f t="shared" si="6"/>
        <v>2 hari</v>
      </c>
      <c r="P25" s="25">
        <f t="shared" si="7"/>
        <v>2400000</v>
      </c>
      <c r="Q25" s="11" t="s">
        <v>125</v>
      </c>
      <c r="R25" s="24">
        <f t="shared" si="8"/>
        <v>0</v>
      </c>
      <c r="S25" s="25">
        <f t="shared" si="9"/>
        <v>2400000</v>
      </c>
      <c r="T25" s="2" t="str">
        <f t="shared" si="10"/>
        <v>Tunai/Kartu Kredit/Debit</v>
      </c>
      <c r="U25" s="2" t="str">
        <f t="shared" ca="1" si="11"/>
        <v>sudah check out</v>
      </c>
      <c r="V25" s="42" t="str">
        <f t="shared" ca="1" si="12"/>
        <v>Lunas</v>
      </c>
    </row>
    <row r="26" spans="1:22" ht="15.75" customHeight="1" x14ac:dyDescent="0.25">
      <c r="A26" s="41">
        <v>20</v>
      </c>
      <c r="B26" s="7" t="s">
        <v>92</v>
      </c>
      <c r="C26" s="7" t="s">
        <v>93</v>
      </c>
      <c r="D26" s="7" t="s">
        <v>94</v>
      </c>
      <c r="E26" s="2" t="str">
        <f t="shared" si="0"/>
        <v>KTP</v>
      </c>
      <c r="F26" s="2" t="str">
        <f t="shared" si="1"/>
        <v>Booking Online</v>
      </c>
      <c r="G26" s="9" t="str">
        <f t="shared" si="2"/>
        <v>Perjalanan Bisnis</v>
      </c>
      <c r="H26" s="23">
        <f t="shared" si="3"/>
        <v>45802</v>
      </c>
      <c r="I26" s="23">
        <f t="shared" si="4"/>
        <v>45807</v>
      </c>
      <c r="J26" s="6">
        <v>2</v>
      </c>
      <c r="K26" s="2" t="str">
        <f t="shared" si="5"/>
        <v>KMR1</v>
      </c>
      <c r="L26" s="2" t="str">
        <f>INDEX(Master_Data!$A$7:$A$11,MATCH(Reservation_Log!K26,Master_Data!$D$7:$D$11,0))</f>
        <v>Standard Room</v>
      </c>
      <c r="M26" s="27">
        <f>INDEX(Master_Data!$C$7:$C$11,MATCH(Reservation_Log!K26,Master_Data!$D$7:$D$11,0))</f>
        <v>2</v>
      </c>
      <c r="N26" s="24">
        <f>INDEX(Master_Data!$B$7:$B$11,MATCH(Reservation_Log!K26,Master_Data!$D$7:$D$11,0))</f>
        <v>800000</v>
      </c>
      <c r="O26" s="27" t="str">
        <f t="shared" si="6"/>
        <v>5 hari</v>
      </c>
      <c r="P26" s="25">
        <f t="shared" si="7"/>
        <v>4000000</v>
      </c>
      <c r="Q26" s="11" t="s">
        <v>127</v>
      </c>
      <c r="R26" s="24">
        <f t="shared" si="8"/>
        <v>75000</v>
      </c>
      <c r="S26" s="25">
        <f t="shared" si="9"/>
        <v>4075000</v>
      </c>
      <c r="T26" s="2" t="str">
        <f t="shared" si="10"/>
        <v>TF/VA/Kartu Kredit</v>
      </c>
      <c r="U26" s="2" t="str">
        <f t="shared" ca="1" si="11"/>
        <v>sudah check out</v>
      </c>
      <c r="V26" s="42" t="str">
        <f t="shared" ca="1" si="12"/>
        <v>Lunas</v>
      </c>
    </row>
    <row r="27" spans="1:22" ht="15.75" customHeight="1" x14ac:dyDescent="0.25">
      <c r="A27" s="41">
        <v>21</v>
      </c>
      <c r="B27" s="7" t="s">
        <v>95</v>
      </c>
      <c r="C27" s="7" t="s">
        <v>96</v>
      </c>
      <c r="D27" s="7" t="s">
        <v>97</v>
      </c>
      <c r="E27" s="2" t="str">
        <f t="shared" si="0"/>
        <v>KTP</v>
      </c>
      <c r="F27" s="2" t="str">
        <f t="shared" si="1"/>
        <v>Booking Online</v>
      </c>
      <c r="G27" s="9" t="str">
        <f t="shared" si="2"/>
        <v>Travelers</v>
      </c>
      <c r="H27" s="23">
        <f t="shared" si="3"/>
        <v>45803</v>
      </c>
      <c r="I27" s="23">
        <f t="shared" si="4"/>
        <v>45805</v>
      </c>
      <c r="J27" s="6">
        <v>2</v>
      </c>
      <c r="K27" s="2" t="str">
        <f t="shared" si="5"/>
        <v>KMR5</v>
      </c>
      <c r="L27" s="2" t="str">
        <f>INDEX(Master_Data!$A$7:$A$11,MATCH(Reservation_Log!K27,Master_Data!$D$7:$D$11,0))</f>
        <v>Family Room</v>
      </c>
      <c r="M27" s="27">
        <f>INDEX(Master_Data!$C$7:$C$11,MATCH(Reservation_Log!K27,Master_Data!$D$7:$D$11,0))</f>
        <v>3</v>
      </c>
      <c r="N27" s="24">
        <f>INDEX(Master_Data!$B$7:$B$11,MATCH(Reservation_Log!K27,Master_Data!$D$7:$D$11,0))</f>
        <v>500000</v>
      </c>
      <c r="O27" s="27" t="str">
        <f t="shared" si="6"/>
        <v>2 hari</v>
      </c>
      <c r="P27" s="25">
        <f t="shared" si="7"/>
        <v>1000000</v>
      </c>
      <c r="Q27" s="11" t="s">
        <v>125</v>
      </c>
      <c r="R27" s="24">
        <f t="shared" si="8"/>
        <v>0</v>
      </c>
      <c r="S27" s="25">
        <f t="shared" si="9"/>
        <v>1000000</v>
      </c>
      <c r="T27" s="2" t="str">
        <f t="shared" si="10"/>
        <v>TF/VA/Kartu Kredit</v>
      </c>
      <c r="U27" s="2" t="str">
        <f t="shared" ca="1" si="11"/>
        <v>sudah check out</v>
      </c>
      <c r="V27" s="42" t="str">
        <f t="shared" ca="1" si="12"/>
        <v>Lunas</v>
      </c>
    </row>
    <row r="28" spans="1:22" ht="15.75" customHeight="1" x14ac:dyDescent="0.25">
      <c r="A28" s="41">
        <v>22</v>
      </c>
      <c r="B28" s="7" t="s">
        <v>98</v>
      </c>
      <c r="C28" s="7" t="s">
        <v>99</v>
      </c>
      <c r="D28" s="7" t="s">
        <v>100</v>
      </c>
      <c r="E28" s="2" t="str">
        <f t="shared" si="0"/>
        <v>Paspor</v>
      </c>
      <c r="F28" s="2" t="str">
        <f t="shared" si="1"/>
        <v>Booking via Telepon</v>
      </c>
      <c r="G28" s="9" t="str">
        <f t="shared" si="2"/>
        <v>Staycation</v>
      </c>
      <c r="H28" s="23">
        <f t="shared" si="3"/>
        <v>45804</v>
      </c>
      <c r="I28" s="23">
        <f t="shared" si="4"/>
        <v>45807</v>
      </c>
      <c r="J28" s="6">
        <v>1</v>
      </c>
      <c r="K28" s="2" t="str">
        <f t="shared" si="5"/>
        <v>KMR1</v>
      </c>
      <c r="L28" s="2" t="str">
        <f>INDEX(Master_Data!$A$7:$A$11,MATCH(Reservation_Log!K28,Master_Data!$D$7:$D$11,0))</f>
        <v>Standard Room</v>
      </c>
      <c r="M28" s="27">
        <f>INDEX(Master_Data!$C$7:$C$11,MATCH(Reservation_Log!K28,Master_Data!$D$7:$D$11,0))</f>
        <v>2</v>
      </c>
      <c r="N28" s="24">
        <f>INDEX(Master_Data!$B$7:$B$11,MATCH(Reservation_Log!K28,Master_Data!$D$7:$D$11,0))</f>
        <v>800000</v>
      </c>
      <c r="O28" s="27" t="str">
        <f t="shared" si="6"/>
        <v>3 hari</v>
      </c>
      <c r="P28" s="25">
        <f t="shared" si="7"/>
        <v>2400000</v>
      </c>
      <c r="Q28" s="11" t="s">
        <v>125</v>
      </c>
      <c r="R28" s="24">
        <f t="shared" si="8"/>
        <v>0</v>
      </c>
      <c r="S28" s="25">
        <f t="shared" si="9"/>
        <v>2400000</v>
      </c>
      <c r="T28" s="2" t="str">
        <f t="shared" si="10"/>
        <v>TF/Tunai</v>
      </c>
      <c r="U28" s="2" t="str">
        <f t="shared" ca="1" si="11"/>
        <v>sudah check out</v>
      </c>
      <c r="V28" s="42" t="str">
        <f t="shared" ca="1" si="12"/>
        <v>Lunas</v>
      </c>
    </row>
    <row r="29" spans="1:22" ht="15.75" customHeight="1" x14ac:dyDescent="0.25">
      <c r="A29" s="41">
        <v>23</v>
      </c>
      <c r="B29" s="7" t="s">
        <v>101</v>
      </c>
      <c r="C29" s="7" t="s">
        <v>102</v>
      </c>
      <c r="D29" s="7" t="s">
        <v>103</v>
      </c>
      <c r="E29" s="2" t="str">
        <f t="shared" si="0"/>
        <v>Paspor</v>
      </c>
      <c r="F29" s="2" t="str">
        <f t="shared" si="1"/>
        <v>Booking via Telepon</v>
      </c>
      <c r="G29" s="9" t="str">
        <f t="shared" si="2"/>
        <v>Perjalanan Bisnis</v>
      </c>
      <c r="H29" s="23">
        <f t="shared" si="3"/>
        <v>45805</v>
      </c>
      <c r="I29" s="23">
        <f t="shared" si="4"/>
        <v>45810</v>
      </c>
      <c r="J29" s="6">
        <v>2</v>
      </c>
      <c r="K29" s="2" t="str">
        <f t="shared" si="5"/>
        <v>KMR5</v>
      </c>
      <c r="L29" s="2" t="str">
        <f>INDEX(Master_Data!$A$7:$A$11,MATCH(Reservation_Log!K29,Master_Data!$D$7:$D$11,0))</f>
        <v>Family Room</v>
      </c>
      <c r="M29" s="27">
        <f>INDEX(Master_Data!$C$7:$C$11,MATCH(Reservation_Log!K29,Master_Data!$D$7:$D$11,0))</f>
        <v>3</v>
      </c>
      <c r="N29" s="24">
        <f>INDEX(Master_Data!$B$7:$B$11,MATCH(Reservation_Log!K29,Master_Data!$D$7:$D$11,0))</f>
        <v>500000</v>
      </c>
      <c r="O29" s="27" t="str">
        <f t="shared" si="6"/>
        <v>5 hari</v>
      </c>
      <c r="P29" s="25">
        <f t="shared" si="7"/>
        <v>2500000</v>
      </c>
      <c r="Q29" s="11" t="s">
        <v>125</v>
      </c>
      <c r="R29" s="24">
        <f t="shared" si="8"/>
        <v>0</v>
      </c>
      <c r="S29" s="25">
        <f t="shared" si="9"/>
        <v>2500000</v>
      </c>
      <c r="T29" s="2" t="str">
        <f t="shared" si="10"/>
        <v>TF/Tunai</v>
      </c>
      <c r="U29" s="2" t="str">
        <f t="shared" ca="1" si="11"/>
        <v>sudah check out</v>
      </c>
      <c r="V29" s="42" t="str">
        <f t="shared" ca="1" si="12"/>
        <v>Lunas</v>
      </c>
    </row>
    <row r="30" spans="1:22" ht="15.75" customHeight="1" x14ac:dyDescent="0.25">
      <c r="A30" s="41">
        <v>24</v>
      </c>
      <c r="B30" s="7" t="s">
        <v>104</v>
      </c>
      <c r="C30" s="7" t="s">
        <v>105</v>
      </c>
      <c r="D30" s="7" t="s">
        <v>106</v>
      </c>
      <c r="E30" s="2" t="str">
        <f t="shared" si="0"/>
        <v>KTP</v>
      </c>
      <c r="F30" s="2" t="str">
        <f t="shared" si="1"/>
        <v>Booking Online</v>
      </c>
      <c r="G30" s="9" t="str">
        <f t="shared" si="2"/>
        <v>Staycation</v>
      </c>
      <c r="H30" s="23">
        <f t="shared" si="3"/>
        <v>45806</v>
      </c>
      <c r="I30" s="23">
        <f t="shared" si="4"/>
        <v>45809</v>
      </c>
      <c r="J30" s="6">
        <v>1</v>
      </c>
      <c r="K30" s="2" t="str">
        <f t="shared" si="5"/>
        <v>KMR2</v>
      </c>
      <c r="L30" s="2" t="str">
        <f>INDEX(Master_Data!$A$7:$A$11,MATCH(Reservation_Log!K30,Master_Data!$D$7:$D$11,0))</f>
        <v>Superior Room</v>
      </c>
      <c r="M30" s="27">
        <f>INDEX(Master_Data!$C$7:$C$11,MATCH(Reservation_Log!K30,Master_Data!$D$7:$D$11,0))</f>
        <v>2</v>
      </c>
      <c r="N30" s="24">
        <f>INDEX(Master_Data!$B$7:$B$11,MATCH(Reservation_Log!K30,Master_Data!$D$7:$D$11,0))</f>
        <v>1200000</v>
      </c>
      <c r="O30" s="27" t="str">
        <f t="shared" si="6"/>
        <v>3 hari</v>
      </c>
      <c r="P30" s="25">
        <f t="shared" si="7"/>
        <v>3600000</v>
      </c>
      <c r="Q30" s="11" t="s">
        <v>125</v>
      </c>
      <c r="R30" s="24">
        <f t="shared" si="8"/>
        <v>0</v>
      </c>
      <c r="S30" s="25">
        <f t="shared" si="9"/>
        <v>3600000</v>
      </c>
      <c r="T30" s="2" t="str">
        <f t="shared" si="10"/>
        <v>TF/VA/Kartu Kredit</v>
      </c>
      <c r="U30" s="2" t="str">
        <f t="shared" ca="1" si="11"/>
        <v>sudah check out</v>
      </c>
      <c r="V30" s="42" t="str">
        <f t="shared" ca="1" si="12"/>
        <v>Lunas</v>
      </c>
    </row>
    <row r="31" spans="1:22" ht="15.75" customHeight="1" x14ac:dyDescent="0.25">
      <c r="A31" s="41">
        <v>25</v>
      </c>
      <c r="B31" s="7" t="s">
        <v>107</v>
      </c>
      <c r="C31" s="7" t="s">
        <v>108</v>
      </c>
      <c r="D31" s="7" t="s">
        <v>109</v>
      </c>
      <c r="E31" s="2" t="str">
        <f t="shared" si="0"/>
        <v>Paspor</v>
      </c>
      <c r="F31" s="2" t="str">
        <f t="shared" si="1"/>
        <v>Walk-in</v>
      </c>
      <c r="G31" s="9" t="str">
        <f t="shared" si="2"/>
        <v>Staycation</v>
      </c>
      <c r="H31" s="23">
        <f t="shared" si="3"/>
        <v>45807</v>
      </c>
      <c r="I31" s="23">
        <f t="shared" si="4"/>
        <v>45810</v>
      </c>
      <c r="J31" s="6">
        <v>1</v>
      </c>
      <c r="K31" s="2" t="str">
        <f t="shared" si="5"/>
        <v>KMR3</v>
      </c>
      <c r="L31" s="2" t="str">
        <f>INDEX(Master_Data!$A$7:$A$11,MATCH(Reservation_Log!K31,Master_Data!$D$7:$D$11,0))</f>
        <v>Deluxe Room</v>
      </c>
      <c r="M31" s="27">
        <f>INDEX(Master_Data!$C$7:$C$11,MATCH(Reservation_Log!K31,Master_Data!$D$7:$D$11,0))</f>
        <v>2</v>
      </c>
      <c r="N31" s="24">
        <f>INDEX(Master_Data!$B$7:$B$11,MATCH(Reservation_Log!K31,Master_Data!$D$7:$D$11,0))</f>
        <v>1800000</v>
      </c>
      <c r="O31" s="27" t="str">
        <f t="shared" si="6"/>
        <v>3 hari</v>
      </c>
      <c r="P31" s="25">
        <f t="shared" si="7"/>
        <v>5400000</v>
      </c>
      <c r="Q31" s="11" t="s">
        <v>125</v>
      </c>
      <c r="R31" s="24">
        <f t="shared" si="8"/>
        <v>0</v>
      </c>
      <c r="S31" s="25">
        <f t="shared" si="9"/>
        <v>5400000</v>
      </c>
      <c r="T31" s="2" t="str">
        <f t="shared" si="10"/>
        <v>Tunai/Kartu Kredit/Debit</v>
      </c>
      <c r="U31" s="2" t="str">
        <f t="shared" ca="1" si="11"/>
        <v>sudah check out</v>
      </c>
      <c r="V31" s="42" t="str">
        <f t="shared" ca="1" si="12"/>
        <v>Lunas</v>
      </c>
    </row>
    <row r="32" spans="1:22" ht="15.75" customHeight="1" x14ac:dyDescent="0.25">
      <c r="A32" s="41">
        <v>26</v>
      </c>
      <c r="B32" s="7" t="s">
        <v>110</v>
      </c>
      <c r="C32" s="7" t="s">
        <v>111</v>
      </c>
      <c r="D32" s="7" t="s">
        <v>112</v>
      </c>
      <c r="E32" s="2" t="str">
        <f t="shared" si="0"/>
        <v>KTP</v>
      </c>
      <c r="F32" s="2" t="str">
        <f t="shared" si="1"/>
        <v>Booking Online</v>
      </c>
      <c r="G32" s="9" t="str">
        <f t="shared" si="2"/>
        <v>Staycation</v>
      </c>
      <c r="H32" s="23">
        <f t="shared" si="3"/>
        <v>45808</v>
      </c>
      <c r="I32" s="23">
        <f t="shared" si="4"/>
        <v>45811</v>
      </c>
      <c r="J32" s="6">
        <v>2</v>
      </c>
      <c r="K32" s="2" t="str">
        <f t="shared" si="5"/>
        <v>KMR1</v>
      </c>
      <c r="L32" s="2" t="str">
        <f>INDEX(Master_Data!$A$7:$A$11,MATCH(Reservation_Log!K32,Master_Data!$D$7:$D$11,0))</f>
        <v>Standard Room</v>
      </c>
      <c r="M32" s="27">
        <f>INDEX(Master_Data!$C$7:$C$11,MATCH(Reservation_Log!K32,Master_Data!$D$7:$D$11,0))</f>
        <v>2</v>
      </c>
      <c r="N32" s="24">
        <f>INDEX(Master_Data!$B$7:$B$11,MATCH(Reservation_Log!K32,Master_Data!$D$7:$D$11,0))</f>
        <v>800000</v>
      </c>
      <c r="O32" s="27" t="str">
        <f t="shared" si="6"/>
        <v>3 hari</v>
      </c>
      <c r="P32" s="25">
        <f t="shared" si="7"/>
        <v>2400000</v>
      </c>
      <c r="Q32" s="11" t="s">
        <v>125</v>
      </c>
      <c r="R32" s="24">
        <f t="shared" si="8"/>
        <v>0</v>
      </c>
      <c r="S32" s="25">
        <f t="shared" si="9"/>
        <v>2400000</v>
      </c>
      <c r="T32" s="2" t="str">
        <f t="shared" si="10"/>
        <v>TF/VA/Kartu Kredit</v>
      </c>
      <c r="U32" s="2" t="str">
        <f t="shared" ca="1" si="11"/>
        <v>sudah check out</v>
      </c>
      <c r="V32" s="42" t="str">
        <f t="shared" ca="1" si="12"/>
        <v>Lunas</v>
      </c>
    </row>
    <row r="33" spans="1:22" ht="15.75" customHeight="1" x14ac:dyDescent="0.25">
      <c r="A33" s="41">
        <v>27</v>
      </c>
      <c r="B33" s="7" t="s">
        <v>113</v>
      </c>
      <c r="C33" s="7" t="s">
        <v>114</v>
      </c>
      <c r="D33" s="7" t="s">
        <v>115</v>
      </c>
      <c r="E33" s="2" t="str">
        <f t="shared" si="0"/>
        <v>KTP</v>
      </c>
      <c r="F33" s="2" t="str">
        <f t="shared" si="1"/>
        <v>Booking Online</v>
      </c>
      <c r="G33" s="9" t="str">
        <f t="shared" si="2"/>
        <v>Perjalanan Bisnis</v>
      </c>
      <c r="H33" s="23">
        <f t="shared" si="3"/>
        <v>45809</v>
      </c>
      <c r="I33" s="23">
        <f t="shared" si="4"/>
        <v>45814</v>
      </c>
      <c r="J33" s="6">
        <v>4</v>
      </c>
      <c r="K33" s="2" t="str">
        <f t="shared" si="5"/>
        <v>KMR4</v>
      </c>
      <c r="L33" s="2" t="str">
        <f>INDEX(Master_Data!$A$7:$A$11,MATCH(Reservation_Log!K33,Master_Data!$D$7:$D$11,0))</f>
        <v>Suite</v>
      </c>
      <c r="M33" s="27">
        <f>INDEX(Master_Data!$C$7:$C$11,MATCH(Reservation_Log!K33,Master_Data!$D$7:$D$11,0))</f>
        <v>4</v>
      </c>
      <c r="N33" s="24">
        <f>INDEX(Master_Data!$B$7:$B$11,MATCH(Reservation_Log!K33,Master_Data!$D$7:$D$11,0))</f>
        <v>2000000</v>
      </c>
      <c r="O33" s="27" t="str">
        <f t="shared" si="6"/>
        <v>5 hari</v>
      </c>
      <c r="P33" s="25">
        <f t="shared" si="7"/>
        <v>10000000</v>
      </c>
      <c r="Q33" s="11" t="s">
        <v>125</v>
      </c>
      <c r="R33" s="24">
        <f t="shared" si="8"/>
        <v>0</v>
      </c>
      <c r="S33" s="25">
        <f t="shared" si="9"/>
        <v>10000000</v>
      </c>
      <c r="T33" s="2" t="str">
        <f t="shared" si="10"/>
        <v>TF/VA/Kartu Kredit</v>
      </c>
      <c r="U33" s="2" t="str">
        <f t="shared" ca="1" si="11"/>
        <v>sudah check out</v>
      </c>
      <c r="V33" s="42" t="str">
        <f t="shared" ca="1" si="12"/>
        <v>Lunas</v>
      </c>
    </row>
    <row r="34" spans="1:22" ht="15.75" customHeight="1" x14ac:dyDescent="0.25">
      <c r="A34" s="41">
        <v>28</v>
      </c>
      <c r="B34" s="7" t="s">
        <v>116</v>
      </c>
      <c r="C34" s="7" t="s">
        <v>117</v>
      </c>
      <c r="D34" s="7" t="s">
        <v>118</v>
      </c>
      <c r="E34" s="2" t="str">
        <f t="shared" si="0"/>
        <v>Paspor</v>
      </c>
      <c r="F34" s="2" t="str">
        <f t="shared" si="1"/>
        <v>Booking Online</v>
      </c>
      <c r="G34" s="9" t="str">
        <f t="shared" si="2"/>
        <v>Travelers</v>
      </c>
      <c r="H34" s="23">
        <f t="shared" si="3"/>
        <v>45813</v>
      </c>
      <c r="I34" s="23">
        <f t="shared" si="4"/>
        <v>45815</v>
      </c>
      <c r="J34" s="6">
        <v>2</v>
      </c>
      <c r="K34" s="2" t="str">
        <f t="shared" si="5"/>
        <v>KMR5</v>
      </c>
      <c r="L34" s="2" t="str">
        <f>INDEX(Master_Data!$A$7:$A$11,MATCH(Reservation_Log!K34,Master_Data!$D$7:$D$11,0))</f>
        <v>Family Room</v>
      </c>
      <c r="M34" s="27">
        <f>INDEX(Master_Data!$C$7:$C$11,MATCH(Reservation_Log!K34,Master_Data!$D$7:$D$11,0))</f>
        <v>3</v>
      </c>
      <c r="N34" s="24">
        <f>INDEX(Master_Data!$B$7:$B$11,MATCH(Reservation_Log!K34,Master_Data!$D$7:$D$11,0))</f>
        <v>500000</v>
      </c>
      <c r="O34" s="27" t="str">
        <f t="shared" si="6"/>
        <v>2 hari</v>
      </c>
      <c r="P34" s="25">
        <f t="shared" si="7"/>
        <v>1000000</v>
      </c>
      <c r="Q34" s="11" t="s">
        <v>125</v>
      </c>
      <c r="R34" s="24">
        <f t="shared" si="8"/>
        <v>0</v>
      </c>
      <c r="S34" s="25">
        <f t="shared" si="9"/>
        <v>1000000</v>
      </c>
      <c r="T34" s="2" t="str">
        <f t="shared" si="10"/>
        <v>TF/VA/Kartu Kredit</v>
      </c>
      <c r="U34" s="2" t="str">
        <f t="shared" ca="1" si="11"/>
        <v>sudah check out</v>
      </c>
      <c r="V34" s="42" t="str">
        <f t="shared" ca="1" si="12"/>
        <v>Lunas</v>
      </c>
    </row>
    <row r="35" spans="1:22" ht="15.75" customHeight="1" x14ac:dyDescent="0.25">
      <c r="A35" s="41">
        <v>29</v>
      </c>
      <c r="B35" s="7" t="s">
        <v>119</v>
      </c>
      <c r="C35" s="7" t="s">
        <v>120</v>
      </c>
      <c r="D35" s="7" t="s">
        <v>121</v>
      </c>
      <c r="E35" s="2" t="str">
        <f t="shared" si="0"/>
        <v>Paspor</v>
      </c>
      <c r="F35" s="2" t="str">
        <f t="shared" si="1"/>
        <v>Booking via Telepon</v>
      </c>
      <c r="G35" s="9" t="str">
        <f t="shared" si="2"/>
        <v>Perjalanan Bisnis</v>
      </c>
      <c r="H35" s="23">
        <f t="shared" si="3"/>
        <v>45814</v>
      </c>
      <c r="I35" s="23">
        <f t="shared" si="4"/>
        <v>45819</v>
      </c>
      <c r="J35" s="6">
        <v>1</v>
      </c>
      <c r="K35" s="2" t="str">
        <f t="shared" si="5"/>
        <v>KMR1</v>
      </c>
      <c r="L35" s="2" t="str">
        <f>INDEX(Master_Data!$A$7:$A$11,MATCH(Reservation_Log!K35,Master_Data!$D$7:$D$11,0))</f>
        <v>Standard Room</v>
      </c>
      <c r="M35" s="27">
        <f>INDEX(Master_Data!$C$7:$C$11,MATCH(Reservation_Log!K35,Master_Data!$D$7:$D$11,0))</f>
        <v>2</v>
      </c>
      <c r="N35" s="24">
        <f>INDEX(Master_Data!$B$7:$B$11,MATCH(Reservation_Log!K35,Master_Data!$D$7:$D$11,0))</f>
        <v>800000</v>
      </c>
      <c r="O35" s="27" t="str">
        <f t="shared" si="6"/>
        <v>5 hari</v>
      </c>
      <c r="P35" s="25">
        <f t="shared" si="7"/>
        <v>4000000</v>
      </c>
      <c r="Q35" s="11" t="s">
        <v>125</v>
      </c>
      <c r="R35" s="24">
        <f t="shared" si="8"/>
        <v>0</v>
      </c>
      <c r="S35" s="25">
        <f t="shared" si="9"/>
        <v>4000000</v>
      </c>
      <c r="T35" s="2" t="str">
        <f t="shared" si="10"/>
        <v>TF/Tunai</v>
      </c>
      <c r="U35" s="2" t="str">
        <f t="shared" ca="1" si="11"/>
        <v>sudah check out</v>
      </c>
      <c r="V35" s="42" t="str">
        <f t="shared" ca="1" si="12"/>
        <v>Lunas</v>
      </c>
    </row>
    <row r="36" spans="1:22" ht="15.75" customHeight="1" x14ac:dyDescent="0.25">
      <c r="A36" s="47">
        <v>30</v>
      </c>
      <c r="B36" s="48" t="s">
        <v>122</v>
      </c>
      <c r="C36" s="48" t="s">
        <v>123</v>
      </c>
      <c r="D36" s="48" t="s">
        <v>124</v>
      </c>
      <c r="E36" s="49" t="str">
        <f t="shared" si="0"/>
        <v>Paspor</v>
      </c>
      <c r="F36" s="49" t="str">
        <f t="shared" si="1"/>
        <v>Booking via Telepon</v>
      </c>
      <c r="G36" s="50" t="str">
        <f t="shared" si="2"/>
        <v>Perjalanan Bisnis</v>
      </c>
      <c r="H36" s="51">
        <f t="shared" si="3"/>
        <v>45815</v>
      </c>
      <c r="I36" s="51">
        <f t="shared" si="4"/>
        <v>45820</v>
      </c>
      <c r="J36" s="52">
        <v>2</v>
      </c>
      <c r="K36" s="49" t="str">
        <f t="shared" si="5"/>
        <v>KMR3</v>
      </c>
      <c r="L36" s="49" t="str">
        <f>INDEX(Master_Data!$A$7:$A$11,MATCH(Reservation_Log!K36,Master_Data!$D$7:$D$11,0))</f>
        <v>Deluxe Room</v>
      </c>
      <c r="M36" s="53">
        <f>INDEX(Master_Data!$C$7:$C$11,MATCH(Reservation_Log!K36,Master_Data!$D$7:$D$11,0))</f>
        <v>2</v>
      </c>
      <c r="N36" s="54">
        <f>INDEX(Master_Data!$B$7:$B$11,MATCH(Reservation_Log!K36,Master_Data!$D$7:$D$11,0))</f>
        <v>1800000</v>
      </c>
      <c r="O36" s="53" t="str">
        <f t="shared" si="6"/>
        <v>5 hari</v>
      </c>
      <c r="P36" s="55">
        <f t="shared" si="7"/>
        <v>9000000</v>
      </c>
      <c r="Q36" s="56" t="s">
        <v>125</v>
      </c>
      <c r="R36" s="54">
        <f t="shared" si="8"/>
        <v>0</v>
      </c>
      <c r="S36" s="55">
        <f t="shared" si="9"/>
        <v>9000000</v>
      </c>
      <c r="T36" s="49" t="str">
        <f t="shared" si="10"/>
        <v>TF/Tunai</v>
      </c>
      <c r="U36" s="49" t="str">
        <f t="shared" ca="1" si="11"/>
        <v>sudah check out</v>
      </c>
      <c r="V36" s="57" t="str">
        <f t="shared" ca="1" si="12"/>
        <v>Lunas</v>
      </c>
    </row>
    <row r="37" spans="1:22" ht="15.75" customHeight="1" x14ac:dyDescent="0.25"/>
    <row r="38" spans="1:22" ht="15.75" customHeight="1" x14ac:dyDescent="0.25"/>
    <row r="39" spans="1:22" ht="15.75" customHeight="1" x14ac:dyDescent="0.25"/>
    <row r="40" spans="1:22" ht="15.75" customHeight="1" x14ac:dyDescent="0.25"/>
    <row r="41" spans="1:22" ht="15.75" customHeight="1" x14ac:dyDescent="0.25"/>
    <row r="42" spans="1:22" ht="15.75" customHeight="1" x14ac:dyDescent="0.25"/>
    <row r="43" spans="1:22" ht="15.75" customHeight="1" x14ac:dyDescent="0.25"/>
    <row r="44" spans="1:22" ht="15.75" customHeight="1" x14ac:dyDescent="0.25"/>
    <row r="45" spans="1:22" ht="15.75" customHeight="1" x14ac:dyDescent="0.25"/>
    <row r="46" spans="1:22" ht="15.75" customHeight="1" x14ac:dyDescent="0.25"/>
    <row r="47" spans="1:22" ht="15.75" customHeight="1" x14ac:dyDescent="0.25"/>
    <row r="48" spans="1:2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3">
    <mergeCell ref="A1:V1"/>
    <mergeCell ref="A2:V2"/>
    <mergeCell ref="A3:V3"/>
  </mergeCell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154D2-05D5-4E1C-B81F-4D62C7D3295E}">
  <dimension ref="A1:H28"/>
  <sheetViews>
    <sheetView showGridLines="0" tabSelected="1" zoomScale="102" workbookViewId="0">
      <selection activeCell="N37" sqref="N37"/>
    </sheetView>
  </sheetViews>
  <sheetFormatPr defaultRowHeight="15" x14ac:dyDescent="0.25"/>
  <cols>
    <col min="1" max="1" width="16.7109375" bestFit="1" customWidth="1"/>
    <col min="2" max="2" width="22.7109375" bestFit="1" customWidth="1"/>
    <col min="4" max="4" width="5.5703125" customWidth="1"/>
    <col min="5" max="5" width="14.5703125" bestFit="1" customWidth="1"/>
    <col min="6" max="6" width="22.28515625" bestFit="1" customWidth="1"/>
    <col min="7" max="7" width="19.28515625" customWidth="1"/>
    <col min="8" max="8" width="15" customWidth="1"/>
    <col min="9" max="10" width="12.85546875" bestFit="1" customWidth="1"/>
    <col min="11" max="11" width="14" bestFit="1" customWidth="1"/>
    <col min="12" max="13" width="12.85546875" bestFit="1" customWidth="1"/>
    <col min="14" max="14" width="14" bestFit="1" customWidth="1"/>
    <col min="15" max="27" width="12.85546875" bestFit="1" customWidth="1"/>
    <col min="28" max="28" width="15" bestFit="1" customWidth="1"/>
    <col min="29" max="29" width="14" bestFit="1" customWidth="1"/>
    <col min="30" max="32" width="12.85546875" bestFit="1" customWidth="1"/>
    <col min="33" max="33" width="14" bestFit="1" customWidth="1"/>
    <col min="34" max="34" width="15" bestFit="1" customWidth="1"/>
  </cols>
  <sheetData>
    <row r="1" spans="2:8" x14ac:dyDescent="0.25">
      <c r="B1" s="59" t="s">
        <v>137</v>
      </c>
      <c r="C1" s="59"/>
      <c r="D1" s="59"/>
      <c r="E1" s="59"/>
      <c r="F1" s="59"/>
      <c r="G1" s="59"/>
      <c r="H1" s="59"/>
    </row>
    <row r="2" spans="2:8" x14ac:dyDescent="0.25">
      <c r="B2" s="59"/>
      <c r="C2" s="59"/>
      <c r="D2" s="59"/>
      <c r="E2" s="59"/>
      <c r="F2" s="59"/>
      <c r="G2" s="59"/>
      <c r="H2" s="59"/>
    </row>
    <row r="3" spans="2:8" x14ac:dyDescent="0.25">
      <c r="B3" s="59"/>
      <c r="C3" s="59"/>
      <c r="D3" s="59"/>
      <c r="E3" s="59"/>
      <c r="F3" s="59"/>
      <c r="G3" s="59"/>
      <c r="H3" s="59"/>
    </row>
    <row r="4" spans="2:8" x14ac:dyDescent="0.25">
      <c r="B4" s="59"/>
      <c r="C4" s="59"/>
      <c r="D4" s="59"/>
      <c r="E4" s="59"/>
      <c r="F4" s="59"/>
      <c r="G4" s="59"/>
      <c r="H4" s="59"/>
    </row>
    <row r="5" spans="2:8" x14ac:dyDescent="0.25">
      <c r="B5" s="59"/>
      <c r="C5" s="59"/>
      <c r="D5" s="59"/>
      <c r="E5" s="59"/>
      <c r="F5" s="59"/>
      <c r="G5" s="59"/>
      <c r="H5" s="59"/>
    </row>
    <row r="22" spans="1:6" x14ac:dyDescent="0.25">
      <c r="A22" s="58" t="s">
        <v>23</v>
      </c>
      <c r="B22" t="s">
        <v>135</v>
      </c>
      <c r="E22" s="58" t="s">
        <v>3</v>
      </c>
      <c r="F22" t="s">
        <v>136</v>
      </c>
    </row>
    <row r="23" spans="1:6" x14ac:dyDescent="0.25">
      <c r="A23" t="s">
        <v>131</v>
      </c>
      <c r="B23" s="14">
        <v>8</v>
      </c>
      <c r="E23" t="s">
        <v>11</v>
      </c>
      <c r="F23" s="60">
        <v>23800000</v>
      </c>
    </row>
    <row r="24" spans="1:6" x14ac:dyDescent="0.25">
      <c r="A24" t="s">
        <v>132</v>
      </c>
      <c r="B24" s="14">
        <v>11</v>
      </c>
      <c r="E24" t="s">
        <v>15</v>
      </c>
      <c r="F24" s="60">
        <v>9300000</v>
      </c>
    </row>
    <row r="25" spans="1:6" x14ac:dyDescent="0.25">
      <c r="A25" t="s">
        <v>133</v>
      </c>
      <c r="B25" s="14">
        <v>7</v>
      </c>
      <c r="E25" t="s">
        <v>7</v>
      </c>
      <c r="F25" s="60">
        <v>13825000</v>
      </c>
    </row>
    <row r="26" spans="1:6" x14ac:dyDescent="0.25">
      <c r="A26" t="s">
        <v>134</v>
      </c>
      <c r="B26" s="14">
        <v>26</v>
      </c>
      <c r="E26" t="s">
        <v>13</v>
      </c>
      <c r="F26" s="60">
        <v>30700000</v>
      </c>
    </row>
    <row r="27" spans="1:6" x14ac:dyDescent="0.25">
      <c r="E27" t="s">
        <v>9</v>
      </c>
      <c r="F27" s="60">
        <v>29100000</v>
      </c>
    </row>
    <row r="28" spans="1:6" x14ac:dyDescent="0.25">
      <c r="E28" t="s">
        <v>134</v>
      </c>
      <c r="F28" s="60">
        <v>106725000</v>
      </c>
    </row>
  </sheetData>
  <mergeCells count="1">
    <mergeCell ref="B1:H5"/>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Master_Data</vt:lpstr>
      <vt:lpstr>Reservation_Log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Aulia Khairunnisa</dc:creator>
  <cp:lastModifiedBy>Aulia khairunnisa</cp:lastModifiedBy>
  <dcterms:created xsi:type="dcterms:W3CDTF">2026-09-09T23:56:17Z</dcterms:created>
  <dcterms:modified xsi:type="dcterms:W3CDTF">2026-09-16T06:43:42Z</dcterms:modified>
</cp:coreProperties>
</file>